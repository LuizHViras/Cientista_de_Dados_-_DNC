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282A5613-1A06-4818-9B99-54D506389FD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4" r:id="rId1"/>
    <sheet name="EXPLICAÇÃO" sheetId="2" r:id="rId2"/>
    <sheet name="EXERCICIOS" sheetId="3" r:id="rId3"/>
  </sheets>
  <definedNames>
    <definedName name="Abr">EXPLICAÇÃO!$G$10:$G$14</definedName>
    <definedName name="André">EXPLICAÇÃO!$D$13:$G$13</definedName>
    <definedName name="Cauê">EXPLICAÇÃO!$D$12:$G$12</definedName>
    <definedName name="Dolar">EXERCICIOS!$K$10</definedName>
    <definedName name="Everton">EXPLICAÇÃO!$D$11:$G$11</definedName>
    <definedName name="Fev">EXPLICAÇÃO!$E$10:$E$14</definedName>
    <definedName name="Funcionário">EXERCICIOS!$C$10:$C$87</definedName>
    <definedName name="Jan">EXPLICAÇÃO!$D$10:$D$14</definedName>
    <definedName name="Mar">EXPLICAÇÃO!$F$10:$F$14</definedName>
    <definedName name="Marcos">EXPLICAÇÃO!$D$14:$G$14</definedName>
    <definedName name="Matheus">EXPLICAÇÃO!$D$10:$G$10</definedName>
    <definedName name="Valor_final_Exportação">EXERCICIOS!$F$10:$F$87</definedName>
    <definedName name="Vendas_un">EXERCICIOS!$E$10:$E$87</definedName>
    <definedName name="Vendas_valor">EXERCICIOS!$D$10:$D$87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3" l="1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H14" i="2"/>
  <c r="H13" i="2"/>
  <c r="H12" i="2"/>
  <c r="H11" i="2"/>
  <c r="H10" i="2"/>
  <c r="G16" i="2"/>
  <c r="F16" i="2"/>
  <c r="E16" i="2"/>
  <c r="D16" i="2"/>
  <c r="G15" i="2"/>
  <c r="F15" i="2"/>
  <c r="E15" i="2"/>
  <c r="D15" i="2"/>
  <c r="E49" i="3"/>
  <c r="F49" i="3" s="1"/>
  <c r="K12" i="3" s="1"/>
</calcChain>
</file>

<file path=xl/sharedStrings.xml><?xml version="1.0" encoding="utf-8"?>
<sst xmlns="http://schemas.openxmlformats.org/spreadsheetml/2006/main" count="107" uniqueCount="33">
  <si>
    <t>&gt;&gt; ONE-LINER &lt;&lt;</t>
  </si>
  <si>
    <t>&gt;&gt; CONTEÚDO DA AULA &lt;&lt;</t>
  </si>
  <si>
    <t>Gerenciador de Nomes</t>
  </si>
  <si>
    <t>"O Gerenciador de Nomes é muito utilizado para definir o nome de interválo (coluna ou tabela), e por conseguinte, facilitar sua chamada em fórmulas."</t>
  </si>
  <si>
    <t>1. Importância</t>
  </si>
  <si>
    <t>2. Exemplo de Utilização</t>
  </si>
  <si>
    <t>Funcionário</t>
  </si>
  <si>
    <t>Matheus</t>
  </si>
  <si>
    <t>Everton</t>
  </si>
  <si>
    <t>André</t>
  </si>
  <si>
    <t>Marcos</t>
  </si>
  <si>
    <t>Rana</t>
  </si>
  <si>
    <t>Natiele</t>
  </si>
  <si>
    <t>Cauê</t>
  </si>
  <si>
    <t>Natialia</t>
  </si>
  <si>
    <t>Thales</t>
  </si>
  <si>
    <t>Bruna</t>
  </si>
  <si>
    <t>Janis</t>
  </si>
  <si>
    <t>Vendas_valor</t>
  </si>
  <si>
    <t>Vendas_un</t>
  </si>
  <si>
    <t>Valor_dolar:</t>
  </si>
  <si>
    <t>Soma das Vendas Final:</t>
  </si>
  <si>
    <t>Quantidade total Vendas_un:</t>
  </si>
  <si>
    <t>Valor_final
Exportação</t>
  </si>
  <si>
    <t>Jan</t>
  </si>
  <si>
    <t>Fev</t>
  </si>
  <si>
    <t>Mar</t>
  </si>
  <si>
    <t>Abr</t>
  </si>
  <si>
    <t>média</t>
  </si>
  <si>
    <t>total indiv.</t>
  </si>
  <si>
    <t>3. Automatização</t>
  </si>
  <si>
    <t>soma</t>
  </si>
  <si>
    <t>*Possivelmente se você tentou referenciar uma célula e arrastar a fórmula, não deu certo. Para saber como resolver este problema, leia nosso guia de funções interessantes, mais à frente. Precisamente uma que chama =INDIRETO() combinada ao Gerenciador de Nomes.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</si>
</sst>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$-409]* #,##0.00_ ;_-[$$-409]* \-#,##0.00\ ;_-[$$-409]* &quot;-&quot;??_ ;_-@_ "/>
  </numFmts>
  <fonts count="14" x14ac:knownFonts="1">
    <font>
      <sz val="11"/>
      <color theme="1"/>
      <name val="Calibri"/>
      <family val="2"/>
      <scheme val="minor"/>
    </font>
    <font>
      <b/>
      <i/>
      <sz val="18"/>
      <color theme="8" tint="0.39997558519241921"/>
      <name val="Calibri"/>
      <family val="2"/>
      <scheme val="minor"/>
    </font>
    <font>
      <b/>
      <sz val="22"/>
      <color rgb="FF002060"/>
      <name val="Segoe UI Light"/>
      <family val="2"/>
    </font>
    <font>
      <i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22409A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0066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 applyBorder="1"/>
    <xf numFmtId="0" fontId="2" fillId="0" borderId="0" xfId="0" applyFont="1" applyBorder="1" applyAlignment="1">
      <alignment horizontal="center" vertical="center"/>
    </xf>
    <xf numFmtId="0" fontId="4" fillId="2" borderId="1" xfId="0" applyFont="1" applyFill="1" applyBorder="1"/>
    <xf numFmtId="0" fontId="0" fillId="2" borderId="2" xfId="0" applyFill="1" applyBorder="1"/>
    <xf numFmtId="0" fontId="0" fillId="2" borderId="4" xfId="0" applyFill="1" applyBorder="1"/>
    <xf numFmtId="0" fontId="6" fillId="2" borderId="3" xfId="0" applyFont="1" applyFill="1" applyBorder="1"/>
    <xf numFmtId="0" fontId="0" fillId="2" borderId="5" xfId="0" applyFill="1" applyBorder="1"/>
    <xf numFmtId="0" fontId="6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2" xfId="0" applyFont="1" applyFill="1" applyBorder="1" applyAlignment="1">
      <alignment horizontal="center" vertical="center"/>
    </xf>
    <xf numFmtId="0" fontId="5" fillId="2" borderId="6" xfId="0" applyFont="1" applyFill="1" applyBorder="1"/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0" xfId="0" applyFont="1"/>
    <xf numFmtId="0" fontId="3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44" fontId="3" fillId="0" borderId="10" xfId="1" applyFont="1" applyBorder="1" applyAlignment="1">
      <alignment horizontal="center" vertical="center"/>
    </xf>
    <xf numFmtId="44" fontId="0" fillId="0" borderId="10" xfId="1" applyFont="1" applyBorder="1"/>
    <xf numFmtId="1" fontId="11" fillId="3" borderId="10" xfId="0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0" xfId="0" quotePrefix="1"/>
    <xf numFmtId="44" fontId="0" fillId="0" borderId="0" xfId="1" applyFont="1"/>
    <xf numFmtId="0" fontId="10" fillId="0" borderId="0" xfId="0" applyFont="1" applyFill="1" applyAlignment="1">
      <alignment horizontal="right"/>
    </xf>
    <xf numFmtId="44" fontId="8" fillId="2" borderId="9" xfId="1" applyFont="1" applyFill="1" applyBorder="1"/>
    <xf numFmtId="0" fontId="12" fillId="0" borderId="10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  <xf numFmtId="0" fontId="11" fillId="3" borderId="1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right" vertical="center"/>
    </xf>
    <xf numFmtId="0" fontId="9" fillId="0" borderId="13" xfId="0" applyFont="1" applyFill="1" applyBorder="1" applyAlignment="1">
      <alignment horizontal="right" vertical="center"/>
    </xf>
    <xf numFmtId="0" fontId="1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0" fillId="0" borderId="13" xfId="1" applyFont="1" applyBorder="1"/>
    <xf numFmtId="44" fontId="0" fillId="0" borderId="13" xfId="1" applyFont="1" applyBorder="1" applyAlignment="1">
      <alignment horizontal="center"/>
    </xf>
    <xf numFmtId="44" fontId="0" fillId="0" borderId="7" xfId="1" applyFont="1" applyBorder="1"/>
    <xf numFmtId="44" fontId="0" fillId="0" borderId="7" xfId="1" applyFont="1" applyBorder="1" applyAlignment="1">
      <alignment horizontal="center"/>
    </xf>
    <xf numFmtId="165" fontId="0" fillId="0" borderId="10" xfId="1" applyNumberFormat="1" applyFont="1" applyBorder="1"/>
    <xf numFmtId="165" fontId="3" fillId="2" borderId="9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22409A"/>
      <color rgb="FFCC0066"/>
      <color rgb="FF2240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hyperlink" Target="https://dinamicatreinamentos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hyperlink" Target="https://dinamicatreinamento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4</xdr:row>
      <xdr:rowOff>66675</xdr:rowOff>
    </xdr:from>
    <xdr:to>
      <xdr:col>11</xdr:col>
      <xdr:colOff>371075</xdr:colOff>
      <xdr:row>5</xdr:row>
      <xdr:rowOff>133318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F6B119-86B9-4D7D-9565-DC8A6320D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90975" y="838200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E35257-F233-491B-8898-3CEA2F59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161925</xdr:rowOff>
    </xdr:from>
    <xdr:to>
      <xdr:col>2</xdr:col>
      <xdr:colOff>171451</xdr:colOff>
      <xdr:row>4</xdr:row>
      <xdr:rowOff>171451</xdr:rowOff>
    </xdr:to>
    <xdr:pic>
      <xdr:nvPicPr>
        <xdr:cNvPr id="8" name="Imagem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1BFDC3-345C-4E96-8A8A-E56F2C4E3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61950"/>
          <a:ext cx="581026" cy="58102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</xdr:row>
      <xdr:rowOff>19050</xdr:rowOff>
    </xdr:from>
    <xdr:to>
      <xdr:col>10</xdr:col>
      <xdr:colOff>380600</xdr:colOff>
      <xdr:row>5</xdr:row>
      <xdr:rowOff>85693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F191323-AA44-428C-870C-D94D78037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790575"/>
          <a:ext cx="3200000" cy="2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161925</xdr:rowOff>
    </xdr:from>
    <xdr:to>
      <xdr:col>2</xdr:col>
      <xdr:colOff>171451</xdr:colOff>
      <xdr:row>4</xdr:row>
      <xdr:rowOff>171451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962EA-A315-463D-A77C-51CE28639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361950"/>
          <a:ext cx="581026" cy="581026"/>
        </a:xfrm>
        <a:prstGeom prst="rect">
          <a:avLst/>
        </a:prstGeom>
      </xdr:spPr>
    </xdr:pic>
    <xdr:clientData/>
  </xdr:twoCellAnchor>
  <xdr:twoCellAnchor editAs="oneCell">
    <xdr:from>
      <xdr:col>5</xdr:col>
      <xdr:colOff>809625</xdr:colOff>
      <xdr:row>4</xdr:row>
      <xdr:rowOff>9525</xdr:rowOff>
    </xdr:from>
    <xdr:to>
      <xdr:col>10</xdr:col>
      <xdr:colOff>685400</xdr:colOff>
      <xdr:row>5</xdr:row>
      <xdr:rowOff>76168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C364EA5-9A99-4013-9673-794ADC0C6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33825" y="771525"/>
          <a:ext cx="3200000" cy="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6FA6-A305-4CB2-A573-C40DFFE7E434}">
  <dimension ref="B1:Q14"/>
  <sheetViews>
    <sheetView showGridLines="0" workbookViewId="0">
      <selection activeCell="F11" sqref="F11"/>
    </sheetView>
  </sheetViews>
  <sheetFormatPr defaultRowHeight="15" x14ac:dyDescent="0.25"/>
  <cols>
    <col min="5" max="5" width="10.85546875" customWidth="1"/>
  </cols>
  <sheetData>
    <row r="1" spans="2:17" ht="15.75" thickBot="1" x14ac:dyDescent="0.3"/>
    <row r="2" spans="2:17" ht="15" customHeight="1" x14ac:dyDescent="0.25">
      <c r="B2" s="41" t="s">
        <v>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2:17" ht="15" customHeight="1" x14ac:dyDescent="0.25"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2:17" ht="15" customHeight="1" x14ac:dyDescent="0.25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</row>
    <row r="5" spans="2:17" ht="15" customHeight="1" x14ac:dyDescent="0.25"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</row>
    <row r="6" spans="2:17" ht="15" customHeight="1" x14ac:dyDescent="0.25"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</row>
    <row r="7" spans="2:17" ht="15" customHeight="1" thickBo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15" customHeight="1" x14ac:dyDescent="0.25">
      <c r="B8" s="4" t="s">
        <v>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5"/>
      <c r="O8" s="12"/>
      <c r="P8" s="12"/>
      <c r="Q8" s="15"/>
    </row>
    <row r="9" spans="2:17" ht="15" customHeight="1" x14ac:dyDescent="0.25">
      <c r="B9" s="13" t="s">
        <v>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0"/>
      <c r="O9" s="14"/>
      <c r="P9" s="14"/>
      <c r="Q9" s="16"/>
    </row>
    <row r="10" spans="2:17" ht="4.5" customHeight="1" thickBot="1" x14ac:dyDescent="0.3"/>
    <row r="11" spans="2:17" ht="15.75" x14ac:dyDescent="0.25">
      <c r="B11" s="4" t="s">
        <v>1</v>
      </c>
      <c r="C11" s="5"/>
      <c r="D11" s="5"/>
      <c r="E11" s="6"/>
    </row>
    <row r="12" spans="2:17" x14ac:dyDescent="0.25">
      <c r="B12" s="7" t="s">
        <v>4</v>
      </c>
      <c r="C12" s="2"/>
      <c r="D12" s="2"/>
      <c r="E12" s="8"/>
    </row>
    <row r="13" spans="2:17" x14ac:dyDescent="0.25">
      <c r="B13" s="7" t="s">
        <v>5</v>
      </c>
      <c r="C13" s="2"/>
      <c r="D13" s="2"/>
      <c r="E13" s="8"/>
    </row>
    <row r="14" spans="2:17" ht="14.25" customHeight="1" x14ac:dyDescent="0.25">
      <c r="B14" s="9" t="s">
        <v>30</v>
      </c>
      <c r="C14" s="10"/>
      <c r="D14" s="10"/>
      <c r="E14" s="11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9"/>
  <sheetViews>
    <sheetView showGridLines="0" topLeftCell="A2" workbookViewId="0">
      <selection activeCell="H15" sqref="H15"/>
    </sheetView>
  </sheetViews>
  <sheetFormatPr defaultRowHeight="15" x14ac:dyDescent="0.25"/>
  <cols>
    <col min="1" max="1" width="4.5703125" customWidth="1"/>
    <col min="3" max="3" width="10.5703125" customWidth="1"/>
    <col min="4" max="4" width="12.140625" bestFit="1" customWidth="1"/>
    <col min="5" max="5" width="12.140625" style="28" bestFit="1" customWidth="1"/>
    <col min="6" max="8" width="12.140625" bestFit="1" customWidth="1"/>
  </cols>
  <sheetData>
    <row r="1" spans="2:17" ht="15.75" thickBot="1" x14ac:dyDescent="0.3"/>
    <row r="2" spans="2:17" x14ac:dyDescent="0.25">
      <c r="B2" s="41" t="s">
        <v>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2:17" x14ac:dyDescent="0.25"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2:17" x14ac:dyDescent="0.25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</row>
    <row r="5" spans="2:17" x14ac:dyDescent="0.25"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</row>
    <row r="6" spans="2:17" x14ac:dyDescent="0.25"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</row>
    <row r="8" spans="2:17" ht="24" customHeight="1" x14ac:dyDescent="0.25"/>
    <row r="9" spans="2:17" x14ac:dyDescent="0.25">
      <c r="D9" s="21" t="s">
        <v>24</v>
      </c>
      <c r="E9" s="21" t="s">
        <v>25</v>
      </c>
      <c r="F9" s="21" t="s">
        <v>26</v>
      </c>
      <c r="G9" s="36" t="s">
        <v>27</v>
      </c>
      <c r="H9" s="37" t="s">
        <v>29</v>
      </c>
    </row>
    <row r="10" spans="2:17" x14ac:dyDescent="0.25">
      <c r="C10" s="34" t="s">
        <v>7</v>
      </c>
      <c r="D10" s="31">
        <v>209</v>
      </c>
      <c r="E10" s="31">
        <v>420</v>
      </c>
      <c r="F10" s="31">
        <v>220</v>
      </c>
      <c r="G10" s="31">
        <v>233</v>
      </c>
      <c r="H10" s="31">
        <f>SUM(Matheus)</f>
        <v>1082</v>
      </c>
    </row>
    <row r="11" spans="2:17" x14ac:dyDescent="0.25">
      <c r="C11" s="34" t="s">
        <v>8</v>
      </c>
      <c r="D11" s="31">
        <v>467</v>
      </c>
      <c r="E11" s="31">
        <v>450</v>
      </c>
      <c r="F11" s="31">
        <v>405</v>
      </c>
      <c r="G11" s="31">
        <v>287</v>
      </c>
      <c r="H11" s="31">
        <f>SUM(Everton)</f>
        <v>1609</v>
      </c>
      <c r="M11" s="30"/>
    </row>
    <row r="12" spans="2:17" x14ac:dyDescent="0.25">
      <c r="C12" s="34" t="s">
        <v>13</v>
      </c>
      <c r="D12" s="31">
        <v>302</v>
      </c>
      <c r="E12" s="31">
        <v>406</v>
      </c>
      <c r="F12" s="31">
        <v>497</v>
      </c>
      <c r="G12" s="31">
        <v>347</v>
      </c>
      <c r="H12" s="31">
        <f>SUM(Cauê)</f>
        <v>1552</v>
      </c>
    </row>
    <row r="13" spans="2:17" x14ac:dyDescent="0.25">
      <c r="C13" s="34" t="s">
        <v>9</v>
      </c>
      <c r="D13" s="31">
        <v>404</v>
      </c>
      <c r="E13" s="31">
        <v>272</v>
      </c>
      <c r="F13" s="31">
        <v>151</v>
      </c>
      <c r="G13" s="31">
        <v>306</v>
      </c>
      <c r="H13" s="31">
        <f>SUM(André)</f>
        <v>1133</v>
      </c>
    </row>
    <row r="14" spans="2:17" x14ac:dyDescent="0.25">
      <c r="C14" s="35" t="s">
        <v>10</v>
      </c>
      <c r="D14" s="31">
        <v>298</v>
      </c>
      <c r="E14" s="31">
        <v>343</v>
      </c>
      <c r="F14" s="31">
        <v>104</v>
      </c>
      <c r="G14" s="31">
        <v>165</v>
      </c>
      <c r="H14" s="31">
        <f>SUM(Mar)</f>
        <v>1377</v>
      </c>
    </row>
    <row r="15" spans="2:17" x14ac:dyDescent="0.25">
      <c r="C15" s="39" t="s">
        <v>31</v>
      </c>
      <c r="D15" s="50">
        <f>SUM(Jan)</f>
        <v>1680</v>
      </c>
      <c r="E15" s="51">
        <f>SUM(Fev)</f>
        <v>1891</v>
      </c>
      <c r="F15" s="50">
        <f>SUM(Mar)</f>
        <v>1377</v>
      </c>
      <c r="G15" s="51">
        <f>SUM(Abr)</f>
        <v>1338</v>
      </c>
    </row>
    <row r="16" spans="2:17" x14ac:dyDescent="0.25">
      <c r="C16" s="38" t="s">
        <v>28</v>
      </c>
      <c r="D16" s="52">
        <f>AVERAGE(Jan)</f>
        <v>336</v>
      </c>
      <c r="E16" s="53">
        <f>AVERAGE(Fev)</f>
        <v>378.2</v>
      </c>
      <c r="F16" s="52">
        <f>AVERAGE(Mar)</f>
        <v>275.39999999999998</v>
      </c>
      <c r="G16" s="52">
        <f>AVERAGE(Abr)</f>
        <v>267.60000000000002</v>
      </c>
    </row>
    <row r="19" spans="3:3" x14ac:dyDescent="0.25">
      <c r="C19" s="40" t="s">
        <v>32</v>
      </c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showGridLines="0" tabSelected="1" topLeftCell="A4" workbookViewId="0">
      <selection activeCell="H14" sqref="H14"/>
    </sheetView>
  </sheetViews>
  <sheetFormatPr defaultRowHeight="15" x14ac:dyDescent="0.25"/>
  <cols>
    <col min="1" max="1" width="3" customWidth="1"/>
    <col min="3" max="3" width="10.7109375" bestFit="1" customWidth="1"/>
    <col min="4" max="4" width="13.140625" customWidth="1"/>
    <col min="5" max="5" width="10.85546875" customWidth="1"/>
    <col min="6" max="6" width="13.28515625" bestFit="1" customWidth="1"/>
    <col min="11" max="11" width="14.85546875" bestFit="1" customWidth="1"/>
    <col min="14" max="14" width="11.85546875" bestFit="1" customWidth="1"/>
  </cols>
  <sheetData>
    <row r="1" spans="2:17" ht="15" customHeight="1" thickBot="1" x14ac:dyDescent="0.3"/>
    <row r="2" spans="2:17" ht="15" customHeight="1" x14ac:dyDescent="0.25">
      <c r="B2" s="41" t="s">
        <v>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</row>
    <row r="3" spans="2:17" ht="15" customHeight="1" x14ac:dyDescent="0.25">
      <c r="B3" s="44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2:17" ht="15" customHeight="1" x14ac:dyDescent="0.25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</row>
    <row r="5" spans="2:17" ht="15" customHeight="1" x14ac:dyDescent="0.25"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</row>
    <row r="6" spans="2:17" ht="15" customHeight="1" x14ac:dyDescent="0.25"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9"/>
    </row>
    <row r="7" spans="2:17" ht="15" customHeight="1" x14ac:dyDescent="0.25">
      <c r="G7" s="1"/>
      <c r="H7" s="1"/>
      <c r="I7" s="1"/>
      <c r="J7" s="1"/>
    </row>
    <row r="9" spans="2:17" ht="26.25" thickBot="1" x14ac:dyDescent="0.3">
      <c r="C9" s="21" t="s">
        <v>6</v>
      </c>
      <c r="D9" s="22" t="s">
        <v>18</v>
      </c>
      <c r="E9" s="26" t="s">
        <v>19</v>
      </c>
      <c r="F9" s="26" t="s">
        <v>23</v>
      </c>
    </row>
    <row r="10" spans="2:17" x14ac:dyDescent="0.25">
      <c r="C10" s="23" t="s">
        <v>7</v>
      </c>
      <c r="D10" s="24">
        <v>511</v>
      </c>
      <c r="E10" s="27">
        <v>10</v>
      </c>
      <c r="F10" s="54">
        <f>D10*E10/Dolar</f>
        <v>996.10136452241716</v>
      </c>
      <c r="J10" s="32" t="s">
        <v>20</v>
      </c>
      <c r="K10" s="33">
        <v>5.13</v>
      </c>
    </row>
    <row r="11" spans="2:17" ht="15.75" thickBot="1" x14ac:dyDescent="0.3">
      <c r="C11" s="23" t="s">
        <v>8</v>
      </c>
      <c r="D11" s="24">
        <v>822</v>
      </c>
      <c r="E11" s="27">
        <v>7</v>
      </c>
      <c r="F11" s="54">
        <f>D11*E11/Dolar</f>
        <v>1121.6374269005848</v>
      </c>
    </row>
    <row r="12" spans="2:17" x14ac:dyDescent="0.25">
      <c r="C12" s="23" t="s">
        <v>13</v>
      </c>
      <c r="D12" s="24">
        <v>685</v>
      </c>
      <c r="E12" s="27">
        <v>7</v>
      </c>
      <c r="F12" s="54">
        <f>D12*E12/Dolar</f>
        <v>934.69785575048729</v>
      </c>
      <c r="J12" s="19" t="s">
        <v>21</v>
      </c>
      <c r="K12" s="55">
        <f ca="1">SUM(Valor_final_Exportação)</f>
        <v>97262.37816764132</v>
      </c>
    </row>
    <row r="13" spans="2:17" ht="15.75" thickBot="1" x14ac:dyDescent="0.3">
      <c r="C13" s="23" t="s">
        <v>9</v>
      </c>
      <c r="D13" s="24">
        <v>618</v>
      </c>
      <c r="E13" s="27">
        <v>2</v>
      </c>
      <c r="F13" s="54">
        <f>D13*E13/Dolar</f>
        <v>240.93567251461988</v>
      </c>
      <c r="J13" s="20"/>
      <c r="K13" s="17"/>
    </row>
    <row r="14" spans="2:17" x14ac:dyDescent="0.25">
      <c r="C14" s="23" t="s">
        <v>10</v>
      </c>
      <c r="D14" s="24">
        <v>508</v>
      </c>
      <c r="E14" s="27">
        <v>5</v>
      </c>
      <c r="F14" s="54">
        <f>D14*E14/Dolar</f>
        <v>495.12670565302147</v>
      </c>
      <c r="J14" s="19" t="s">
        <v>22</v>
      </c>
      <c r="K14" s="18">
        <f ca="1">COUNTA(Valor_final_Exportação)</f>
        <v>78</v>
      </c>
    </row>
    <row r="15" spans="2:17" x14ac:dyDescent="0.25">
      <c r="C15" s="23" t="s">
        <v>8</v>
      </c>
      <c r="D15" s="24">
        <v>626</v>
      </c>
      <c r="E15" s="27">
        <v>7</v>
      </c>
      <c r="F15" s="54">
        <f>D15*E15/Dolar</f>
        <v>854.19103313840162</v>
      </c>
    </row>
    <row r="16" spans="2:17" x14ac:dyDescent="0.25">
      <c r="C16" s="23" t="s">
        <v>11</v>
      </c>
      <c r="D16" s="24">
        <v>602</v>
      </c>
      <c r="E16" s="27">
        <v>9</v>
      </c>
      <c r="F16" s="54">
        <f>D16*E16/Dolar</f>
        <v>1056.140350877193</v>
      </c>
    </row>
    <row r="17" spans="3:6" x14ac:dyDescent="0.25">
      <c r="C17" s="23" t="s">
        <v>11</v>
      </c>
      <c r="D17" s="24">
        <v>669</v>
      </c>
      <c r="E17" s="27">
        <v>5</v>
      </c>
      <c r="F17" s="54">
        <f>D17*E17/Dolar</f>
        <v>652.046783625731</v>
      </c>
    </row>
    <row r="18" spans="3:6" x14ac:dyDescent="0.25">
      <c r="C18" s="23" t="s">
        <v>7</v>
      </c>
      <c r="D18" s="24">
        <v>840</v>
      </c>
      <c r="E18" s="27">
        <v>6</v>
      </c>
      <c r="F18" s="54">
        <f>D18*E18/Dolar</f>
        <v>982.45614035087726</v>
      </c>
    </row>
    <row r="19" spans="3:6" x14ac:dyDescent="0.25">
      <c r="C19" s="23" t="s">
        <v>8</v>
      </c>
      <c r="D19" s="24">
        <v>708</v>
      </c>
      <c r="E19" s="27">
        <v>9</v>
      </c>
      <c r="F19" s="54">
        <f>D19*E19/Dolar</f>
        <v>1242.1052631578948</v>
      </c>
    </row>
    <row r="20" spans="3:6" x14ac:dyDescent="0.25">
      <c r="C20" s="23" t="s">
        <v>13</v>
      </c>
      <c r="D20" s="24">
        <v>539</v>
      </c>
      <c r="E20" s="27">
        <v>3</v>
      </c>
      <c r="F20" s="54">
        <f>D20*E20/Dolar</f>
        <v>315.20467836257313</v>
      </c>
    </row>
    <row r="21" spans="3:6" x14ac:dyDescent="0.25">
      <c r="C21" s="23" t="s">
        <v>9</v>
      </c>
      <c r="D21" s="24">
        <v>919</v>
      </c>
      <c r="E21" s="27">
        <v>10</v>
      </c>
      <c r="F21" s="54">
        <f>D21*E21/Dolar</f>
        <v>1791.4230019493177</v>
      </c>
    </row>
    <row r="22" spans="3:6" x14ac:dyDescent="0.25">
      <c r="C22" s="23" t="s">
        <v>10</v>
      </c>
      <c r="D22" s="24">
        <v>953</v>
      </c>
      <c r="E22" s="27">
        <v>5</v>
      </c>
      <c r="F22" s="54">
        <f>D22*E22/Dolar</f>
        <v>928.84990253411308</v>
      </c>
    </row>
    <row r="23" spans="3:6" x14ac:dyDescent="0.25">
      <c r="C23" s="23" t="s">
        <v>8</v>
      </c>
      <c r="D23" s="24">
        <v>885</v>
      </c>
      <c r="E23" s="27">
        <v>6</v>
      </c>
      <c r="F23" s="54">
        <f>D23*E23/Dolar</f>
        <v>1035.0877192982457</v>
      </c>
    </row>
    <row r="24" spans="3:6" x14ac:dyDescent="0.25">
      <c r="C24" s="23" t="s">
        <v>12</v>
      </c>
      <c r="D24" s="24">
        <v>654</v>
      </c>
      <c r="E24" s="27">
        <v>4</v>
      </c>
      <c r="F24" s="54">
        <f>D24*E24/Dolar</f>
        <v>509.94152046783626</v>
      </c>
    </row>
    <row r="25" spans="3:6" x14ac:dyDescent="0.25">
      <c r="C25" s="23" t="s">
        <v>13</v>
      </c>
      <c r="D25" s="24">
        <v>860</v>
      </c>
      <c r="E25" s="27">
        <v>2</v>
      </c>
      <c r="F25" s="54">
        <f>D25*E25/Dolar</f>
        <v>335.28265107212474</v>
      </c>
    </row>
    <row r="26" spans="3:6" x14ac:dyDescent="0.25">
      <c r="C26" s="23" t="s">
        <v>14</v>
      </c>
      <c r="D26" s="24">
        <v>921</v>
      </c>
      <c r="E26" s="27">
        <v>8</v>
      </c>
      <c r="F26" s="54">
        <f>D26*E26/Dolar</f>
        <v>1436.2573099415206</v>
      </c>
    </row>
    <row r="27" spans="3:6" x14ac:dyDescent="0.25">
      <c r="C27" s="23" t="s">
        <v>15</v>
      </c>
      <c r="D27" s="24">
        <v>768</v>
      </c>
      <c r="E27" s="27">
        <v>10</v>
      </c>
      <c r="F27" s="54">
        <f>D27*E27/Dolar</f>
        <v>1497.0760233918129</v>
      </c>
    </row>
    <row r="28" spans="3:6" x14ac:dyDescent="0.25">
      <c r="C28" s="23" t="s">
        <v>16</v>
      </c>
      <c r="D28" s="24">
        <v>607</v>
      </c>
      <c r="E28" s="27">
        <v>4</v>
      </c>
      <c r="F28" s="54">
        <f>D28*E28/Dolar</f>
        <v>473.29434697855754</v>
      </c>
    </row>
    <row r="29" spans="3:6" x14ac:dyDescent="0.25">
      <c r="C29" s="23" t="s">
        <v>17</v>
      </c>
      <c r="D29" s="24">
        <v>552</v>
      </c>
      <c r="E29" s="27">
        <v>7</v>
      </c>
      <c r="F29" s="54">
        <f>D29*E29/Dolar</f>
        <v>753.21637426900588</v>
      </c>
    </row>
    <row r="30" spans="3:6" x14ac:dyDescent="0.25">
      <c r="C30" s="23" t="s">
        <v>10</v>
      </c>
      <c r="D30" s="24">
        <v>795</v>
      </c>
      <c r="E30" s="27">
        <v>7</v>
      </c>
      <c r="F30" s="54">
        <f>D30*E30/Dolar</f>
        <v>1084.7953216374269</v>
      </c>
    </row>
    <row r="31" spans="3:6" x14ac:dyDescent="0.25">
      <c r="C31" s="23" t="s">
        <v>10</v>
      </c>
      <c r="D31" s="24">
        <v>500</v>
      </c>
      <c r="E31" s="27">
        <v>4</v>
      </c>
      <c r="F31" s="54">
        <f>D31*E31/Dolar</f>
        <v>389.8635477582846</v>
      </c>
    </row>
    <row r="32" spans="3:6" x14ac:dyDescent="0.25">
      <c r="C32" s="23" t="s">
        <v>8</v>
      </c>
      <c r="D32" s="24">
        <v>579</v>
      </c>
      <c r="E32" s="27">
        <v>1</v>
      </c>
      <c r="F32" s="54">
        <f>D32*E32/Dolar</f>
        <v>112.86549707602339</v>
      </c>
    </row>
    <row r="33" spans="3:6" x14ac:dyDescent="0.25">
      <c r="C33" s="23" t="s">
        <v>12</v>
      </c>
      <c r="D33" s="24">
        <v>553</v>
      </c>
      <c r="E33" s="27">
        <v>10</v>
      </c>
      <c r="F33" s="54">
        <f>D33*E33/Dolar</f>
        <v>1077.9727095516569</v>
      </c>
    </row>
    <row r="34" spans="3:6" x14ac:dyDescent="0.25">
      <c r="C34" s="23" t="s">
        <v>13</v>
      </c>
      <c r="D34" s="24">
        <v>900</v>
      </c>
      <c r="E34" s="27">
        <v>7</v>
      </c>
      <c r="F34" s="54">
        <f>D34*E34/Dolar</f>
        <v>1228.0701754385966</v>
      </c>
    </row>
    <row r="35" spans="3:6" x14ac:dyDescent="0.25">
      <c r="C35" s="23" t="s">
        <v>14</v>
      </c>
      <c r="D35" s="24">
        <v>901</v>
      </c>
      <c r="E35" s="27">
        <v>10</v>
      </c>
      <c r="F35" s="54">
        <f>D35*E35/Dolar</f>
        <v>1756.3352826510722</v>
      </c>
    </row>
    <row r="36" spans="3:6" x14ac:dyDescent="0.25">
      <c r="C36" s="23" t="s">
        <v>15</v>
      </c>
      <c r="D36" s="24">
        <v>760</v>
      </c>
      <c r="E36" s="27">
        <v>6</v>
      </c>
      <c r="F36" s="54">
        <f>D36*E36/Dolar</f>
        <v>888.88888888888891</v>
      </c>
    </row>
    <row r="37" spans="3:6" x14ac:dyDescent="0.25">
      <c r="C37" s="23" t="s">
        <v>16</v>
      </c>
      <c r="D37" s="24">
        <v>860</v>
      </c>
      <c r="E37" s="27">
        <v>10</v>
      </c>
      <c r="F37" s="54">
        <f>D37*E37/Dolar</f>
        <v>1676.4132553606239</v>
      </c>
    </row>
    <row r="38" spans="3:6" x14ac:dyDescent="0.25">
      <c r="C38" s="23" t="s">
        <v>17</v>
      </c>
      <c r="D38" s="24">
        <v>910</v>
      </c>
      <c r="E38" s="27">
        <v>4</v>
      </c>
      <c r="F38" s="54">
        <f>D38*E38/Dolar</f>
        <v>709.55165692007802</v>
      </c>
    </row>
    <row r="39" spans="3:6" x14ac:dyDescent="0.25">
      <c r="C39" s="23" t="s">
        <v>10</v>
      </c>
      <c r="D39" s="24">
        <v>882</v>
      </c>
      <c r="E39" s="27">
        <v>9</v>
      </c>
      <c r="F39" s="54">
        <f>D39*E39/Dolar</f>
        <v>1547.3684210526317</v>
      </c>
    </row>
    <row r="40" spans="3:6" x14ac:dyDescent="0.25">
      <c r="C40" s="23" t="s">
        <v>10</v>
      </c>
      <c r="D40" s="24">
        <v>936</v>
      </c>
      <c r="E40" s="27">
        <v>10</v>
      </c>
      <c r="F40" s="54">
        <f>D40*E40/Dolar</f>
        <v>1824.5614035087719</v>
      </c>
    </row>
    <row r="41" spans="3:6" x14ac:dyDescent="0.25">
      <c r="C41" s="23" t="s">
        <v>8</v>
      </c>
      <c r="D41" s="24">
        <v>634</v>
      </c>
      <c r="E41" s="27">
        <v>9</v>
      </c>
      <c r="F41" s="54">
        <f>D41*E41/Dolar</f>
        <v>1112.280701754386</v>
      </c>
    </row>
    <row r="42" spans="3:6" x14ac:dyDescent="0.25">
      <c r="C42" s="23" t="s">
        <v>12</v>
      </c>
      <c r="D42" s="24">
        <v>524</v>
      </c>
      <c r="E42" s="27">
        <v>10</v>
      </c>
      <c r="F42" s="54">
        <f>D42*E42/Dolar</f>
        <v>1021.4424951267057</v>
      </c>
    </row>
    <row r="43" spans="3:6" x14ac:dyDescent="0.25">
      <c r="C43" s="23" t="s">
        <v>13</v>
      </c>
      <c r="D43" s="24">
        <v>654</v>
      </c>
      <c r="E43" s="27">
        <v>6</v>
      </c>
      <c r="F43" s="54">
        <f>D43*E43/Dolar</f>
        <v>764.91228070175441</v>
      </c>
    </row>
    <row r="44" spans="3:6" x14ac:dyDescent="0.25">
      <c r="C44" s="23" t="s">
        <v>14</v>
      </c>
      <c r="D44" s="24">
        <v>978</v>
      </c>
      <c r="E44" s="27">
        <v>1</v>
      </c>
      <c r="F44" s="54">
        <f>D44*E44/Dolar</f>
        <v>190.64327485380116</v>
      </c>
    </row>
    <row r="45" spans="3:6" x14ac:dyDescent="0.25">
      <c r="C45" s="23" t="s">
        <v>15</v>
      </c>
      <c r="D45" s="24">
        <v>941</v>
      </c>
      <c r="E45" s="27">
        <v>4</v>
      </c>
      <c r="F45" s="54">
        <f>D45*E45/Dolar</f>
        <v>733.72319688109167</v>
      </c>
    </row>
    <row r="46" spans="3:6" x14ac:dyDescent="0.25">
      <c r="C46" s="23" t="s">
        <v>16</v>
      </c>
      <c r="D46" s="24">
        <v>506</v>
      </c>
      <c r="E46" s="27">
        <v>8</v>
      </c>
      <c r="F46" s="54">
        <f>D46*E46/Dolar</f>
        <v>789.08382066276806</v>
      </c>
    </row>
    <row r="47" spans="3:6" x14ac:dyDescent="0.25">
      <c r="C47" s="23" t="s">
        <v>17</v>
      </c>
      <c r="D47" s="24">
        <v>559</v>
      </c>
      <c r="E47" s="27">
        <v>5</v>
      </c>
      <c r="F47" s="54">
        <f>D47*E47/Dolar</f>
        <v>544.83430799220275</v>
      </c>
    </row>
    <row r="48" spans="3:6" x14ac:dyDescent="0.25">
      <c r="C48" s="23" t="s">
        <v>10</v>
      </c>
      <c r="D48" s="24">
        <v>839</v>
      </c>
      <c r="E48" s="27">
        <v>1</v>
      </c>
      <c r="F48" s="54">
        <f>D48*E48/Dolar</f>
        <v>163.54775828460041</v>
      </c>
    </row>
    <row r="49" spans="3:6" x14ac:dyDescent="0.25">
      <c r="C49" s="23" t="s">
        <v>7</v>
      </c>
      <c r="D49" s="25">
        <v>547</v>
      </c>
      <c r="E49" s="29">
        <f ca="1">RANDBETWEEN(1,20)</f>
        <v>19</v>
      </c>
      <c r="F49" s="54">
        <f ca="1">D49*E49/Dolar</f>
        <v>2025.9259259259259</v>
      </c>
    </row>
    <row r="50" spans="3:6" x14ac:dyDescent="0.25">
      <c r="C50" s="23" t="s">
        <v>8</v>
      </c>
      <c r="D50" s="25">
        <v>909</v>
      </c>
      <c r="E50" s="29">
        <v>1</v>
      </c>
      <c r="F50" s="54">
        <f>D50*E50/Dolar</f>
        <v>177.19298245614036</v>
      </c>
    </row>
    <row r="51" spans="3:6" x14ac:dyDescent="0.25">
      <c r="C51" s="23" t="s">
        <v>13</v>
      </c>
      <c r="D51" s="25">
        <v>669</v>
      </c>
      <c r="E51" s="29">
        <v>5</v>
      </c>
      <c r="F51" s="54">
        <f>D51*E51/Dolar</f>
        <v>652.046783625731</v>
      </c>
    </row>
    <row r="52" spans="3:6" x14ac:dyDescent="0.25">
      <c r="C52" s="23" t="s">
        <v>9</v>
      </c>
      <c r="D52" s="25">
        <v>588</v>
      </c>
      <c r="E52" s="29">
        <v>14</v>
      </c>
      <c r="F52" s="54">
        <f>D52*E52/Dolar</f>
        <v>1604.6783625730995</v>
      </c>
    </row>
    <row r="53" spans="3:6" x14ac:dyDescent="0.25">
      <c r="C53" s="23" t="s">
        <v>10</v>
      </c>
      <c r="D53" s="25">
        <v>782</v>
      </c>
      <c r="E53" s="29">
        <v>10</v>
      </c>
      <c r="F53" s="54">
        <f>D53*E53/Dolar</f>
        <v>1524.3664717348929</v>
      </c>
    </row>
    <row r="54" spans="3:6" x14ac:dyDescent="0.25">
      <c r="C54" s="23" t="s">
        <v>8</v>
      </c>
      <c r="D54" s="25">
        <v>580</v>
      </c>
      <c r="E54" s="29">
        <v>4</v>
      </c>
      <c r="F54" s="54">
        <f>D54*E54/Dolar</f>
        <v>452.24171539961014</v>
      </c>
    </row>
    <row r="55" spans="3:6" x14ac:dyDescent="0.25">
      <c r="C55" s="23" t="s">
        <v>11</v>
      </c>
      <c r="D55" s="25">
        <v>896</v>
      </c>
      <c r="E55" s="29">
        <v>16</v>
      </c>
      <c r="F55" s="54">
        <f>D55*E55/Dolar</f>
        <v>2794.5419103313839</v>
      </c>
    </row>
    <row r="56" spans="3:6" x14ac:dyDescent="0.25">
      <c r="C56" s="23" t="s">
        <v>11</v>
      </c>
      <c r="D56" s="25">
        <v>761</v>
      </c>
      <c r="E56" s="29">
        <v>17</v>
      </c>
      <c r="F56" s="54">
        <f>D56*E56/Dolar</f>
        <v>2521.8323586744641</v>
      </c>
    </row>
    <row r="57" spans="3:6" x14ac:dyDescent="0.25">
      <c r="C57" s="23" t="s">
        <v>7</v>
      </c>
      <c r="D57" s="25">
        <v>806</v>
      </c>
      <c r="E57" s="29">
        <v>8</v>
      </c>
      <c r="F57" s="54">
        <f>D57*E57/Dolar</f>
        <v>1256.9200779727096</v>
      </c>
    </row>
    <row r="58" spans="3:6" x14ac:dyDescent="0.25">
      <c r="C58" s="23" t="s">
        <v>8</v>
      </c>
      <c r="D58" s="25">
        <v>824</v>
      </c>
      <c r="E58" s="29">
        <v>15</v>
      </c>
      <c r="F58" s="54">
        <f>D58*E58/Dolar</f>
        <v>2409.3567251461991</v>
      </c>
    </row>
    <row r="59" spans="3:6" x14ac:dyDescent="0.25">
      <c r="C59" s="23" t="s">
        <v>13</v>
      </c>
      <c r="D59" s="25">
        <v>606</v>
      </c>
      <c r="E59" s="29">
        <v>10</v>
      </c>
      <c r="F59" s="54">
        <f>D59*E59/Dolar</f>
        <v>1181.2865497076023</v>
      </c>
    </row>
    <row r="60" spans="3:6" x14ac:dyDescent="0.25">
      <c r="C60" s="23" t="s">
        <v>9</v>
      </c>
      <c r="D60" s="25">
        <v>562</v>
      </c>
      <c r="E60" s="29">
        <v>6</v>
      </c>
      <c r="F60" s="54">
        <f>D60*E60/Dolar</f>
        <v>657.30994152046787</v>
      </c>
    </row>
    <row r="61" spans="3:6" x14ac:dyDescent="0.25">
      <c r="C61" s="23" t="s">
        <v>10</v>
      </c>
      <c r="D61" s="25">
        <v>609</v>
      </c>
      <c r="E61" s="29">
        <v>19</v>
      </c>
      <c r="F61" s="54">
        <f>D61*E61/Dolar</f>
        <v>2255.5555555555557</v>
      </c>
    </row>
    <row r="62" spans="3:6" x14ac:dyDescent="0.25">
      <c r="C62" s="23" t="s">
        <v>8</v>
      </c>
      <c r="D62" s="25">
        <v>943</v>
      </c>
      <c r="E62" s="29">
        <v>14</v>
      </c>
      <c r="F62" s="54">
        <f>D62*E62/Dolar</f>
        <v>2573.4892787524368</v>
      </c>
    </row>
    <row r="63" spans="3:6" x14ac:dyDescent="0.25">
      <c r="C63" s="23" t="s">
        <v>12</v>
      </c>
      <c r="D63" s="25">
        <v>953</v>
      </c>
      <c r="E63" s="29">
        <v>16</v>
      </c>
      <c r="F63" s="54">
        <f>D63*E63/Dolar</f>
        <v>2972.3196881091617</v>
      </c>
    </row>
    <row r="64" spans="3:6" x14ac:dyDescent="0.25">
      <c r="C64" s="23" t="s">
        <v>13</v>
      </c>
      <c r="D64" s="25">
        <v>526</v>
      </c>
      <c r="E64" s="29">
        <v>20</v>
      </c>
      <c r="F64" s="54">
        <f>D64*E64/Dolar</f>
        <v>2050.6822612085771</v>
      </c>
    </row>
    <row r="65" spans="3:6" x14ac:dyDescent="0.25">
      <c r="C65" s="23" t="s">
        <v>14</v>
      </c>
      <c r="D65" s="25">
        <v>540</v>
      </c>
      <c r="E65" s="29">
        <v>18</v>
      </c>
      <c r="F65" s="54">
        <f>D65*E65/Dolar</f>
        <v>1894.7368421052631</v>
      </c>
    </row>
    <row r="66" spans="3:6" x14ac:dyDescent="0.25">
      <c r="C66" s="23" t="s">
        <v>15</v>
      </c>
      <c r="D66" s="25">
        <v>976</v>
      </c>
      <c r="E66" s="29">
        <v>9</v>
      </c>
      <c r="F66" s="54">
        <f>D66*E66/Dolar</f>
        <v>1712.280701754386</v>
      </c>
    </row>
    <row r="67" spans="3:6" x14ac:dyDescent="0.25">
      <c r="C67" s="23" t="s">
        <v>16</v>
      </c>
      <c r="D67" s="25">
        <v>769</v>
      </c>
      <c r="E67" s="29">
        <v>8</v>
      </c>
      <c r="F67" s="54">
        <f>D67*E67/Dolar</f>
        <v>1199.2202729044834</v>
      </c>
    </row>
    <row r="68" spans="3:6" x14ac:dyDescent="0.25">
      <c r="C68" s="23" t="s">
        <v>17</v>
      </c>
      <c r="D68" s="25">
        <v>501</v>
      </c>
      <c r="E68" s="29">
        <v>2</v>
      </c>
      <c r="F68" s="54">
        <f>D68*E68/Dolar</f>
        <v>195.32163742690059</v>
      </c>
    </row>
    <row r="69" spans="3:6" x14ac:dyDescent="0.25">
      <c r="C69" s="23" t="s">
        <v>10</v>
      </c>
      <c r="D69" s="25">
        <v>820</v>
      </c>
      <c r="E69" s="29">
        <v>17</v>
      </c>
      <c r="F69" s="54">
        <f>D69*E69/Dolar</f>
        <v>2717.3489278752436</v>
      </c>
    </row>
    <row r="70" spans="3:6" x14ac:dyDescent="0.25">
      <c r="C70" s="23" t="s">
        <v>10</v>
      </c>
      <c r="D70" s="25">
        <v>996</v>
      </c>
      <c r="E70" s="29">
        <v>13</v>
      </c>
      <c r="F70" s="54">
        <f>D70*E70/Dolar</f>
        <v>2523.9766081871344</v>
      </c>
    </row>
    <row r="71" spans="3:6" x14ac:dyDescent="0.25">
      <c r="C71" s="23" t="s">
        <v>8</v>
      </c>
      <c r="D71" s="25">
        <v>553</v>
      </c>
      <c r="E71" s="29">
        <v>8</v>
      </c>
      <c r="F71" s="54">
        <f>D71*E71/Dolar</f>
        <v>862.3781676413256</v>
      </c>
    </row>
    <row r="72" spans="3:6" x14ac:dyDescent="0.25">
      <c r="C72" s="23" t="s">
        <v>12</v>
      </c>
      <c r="D72" s="25">
        <v>582</v>
      </c>
      <c r="E72" s="29">
        <v>6</v>
      </c>
      <c r="F72" s="54">
        <f>D72*E72/Dolar</f>
        <v>680.70175438596493</v>
      </c>
    </row>
    <row r="73" spans="3:6" x14ac:dyDescent="0.25">
      <c r="C73" s="23" t="s">
        <v>13</v>
      </c>
      <c r="D73" s="25">
        <v>646</v>
      </c>
      <c r="E73" s="29">
        <v>19</v>
      </c>
      <c r="F73" s="54">
        <f>D73*E73/Dolar</f>
        <v>2392.5925925925926</v>
      </c>
    </row>
    <row r="74" spans="3:6" x14ac:dyDescent="0.25">
      <c r="C74" s="23" t="s">
        <v>14</v>
      </c>
      <c r="D74" s="25">
        <v>949</v>
      </c>
      <c r="E74" s="29">
        <v>11</v>
      </c>
      <c r="F74" s="54">
        <f>D74*E74/Dolar</f>
        <v>2034.8927875243664</v>
      </c>
    </row>
    <row r="75" spans="3:6" x14ac:dyDescent="0.25">
      <c r="C75" s="23" t="s">
        <v>15</v>
      </c>
      <c r="D75" s="25">
        <v>546</v>
      </c>
      <c r="E75" s="29">
        <v>14</v>
      </c>
      <c r="F75" s="54">
        <f>D75*E75/Dolar</f>
        <v>1490.0584795321638</v>
      </c>
    </row>
    <row r="76" spans="3:6" x14ac:dyDescent="0.25">
      <c r="C76" s="23" t="s">
        <v>16</v>
      </c>
      <c r="D76" s="25">
        <v>830</v>
      </c>
      <c r="E76" s="29">
        <v>6</v>
      </c>
      <c r="F76" s="54">
        <f>D76*E76/Dolar</f>
        <v>970.76023391812862</v>
      </c>
    </row>
    <row r="77" spans="3:6" x14ac:dyDescent="0.25">
      <c r="C77" s="23" t="s">
        <v>17</v>
      </c>
      <c r="D77" s="25">
        <v>534</v>
      </c>
      <c r="E77" s="29">
        <v>19</v>
      </c>
      <c r="F77" s="54">
        <f>D77*E77/Dolar</f>
        <v>1977.7777777777778</v>
      </c>
    </row>
    <row r="78" spans="3:6" x14ac:dyDescent="0.25">
      <c r="C78" s="23" t="s">
        <v>10</v>
      </c>
      <c r="D78" s="25">
        <v>866</v>
      </c>
      <c r="E78" s="29">
        <v>19</v>
      </c>
      <c r="F78" s="54">
        <f>D78*E78/Dolar</f>
        <v>3207.4074074074074</v>
      </c>
    </row>
    <row r="79" spans="3:6" x14ac:dyDescent="0.25">
      <c r="C79" s="23" t="s">
        <v>10</v>
      </c>
      <c r="D79" s="25">
        <v>792</v>
      </c>
      <c r="E79" s="29">
        <v>1</v>
      </c>
      <c r="F79" s="54">
        <f>D79*E79/Dolar</f>
        <v>154.38596491228071</v>
      </c>
    </row>
    <row r="80" spans="3:6" x14ac:dyDescent="0.25">
      <c r="C80" s="23" t="s">
        <v>8</v>
      </c>
      <c r="D80" s="25">
        <v>860</v>
      </c>
      <c r="E80" s="29">
        <v>18</v>
      </c>
      <c r="F80" s="54">
        <f>D80*E80/Dolar</f>
        <v>3017.5438596491231</v>
      </c>
    </row>
    <row r="81" spans="3:6" x14ac:dyDescent="0.25">
      <c r="C81" s="23" t="s">
        <v>12</v>
      </c>
      <c r="D81" s="25">
        <v>601</v>
      </c>
      <c r="E81" s="29">
        <v>1</v>
      </c>
      <c r="F81" s="54">
        <f>D81*E81/Dolar</f>
        <v>117.15399610136453</v>
      </c>
    </row>
    <row r="82" spans="3:6" x14ac:dyDescent="0.25">
      <c r="C82" s="23" t="s">
        <v>13</v>
      </c>
      <c r="D82" s="25">
        <v>747</v>
      </c>
      <c r="E82" s="29">
        <v>18</v>
      </c>
      <c r="F82" s="54">
        <f>D82*E82/Dolar</f>
        <v>2621.0526315789475</v>
      </c>
    </row>
    <row r="83" spans="3:6" x14ac:dyDescent="0.25">
      <c r="C83" s="23" t="s">
        <v>14</v>
      </c>
      <c r="D83" s="25">
        <v>784</v>
      </c>
      <c r="E83" s="29">
        <v>2</v>
      </c>
      <c r="F83" s="54">
        <f>D83*E83/Dolar</f>
        <v>305.65302144249512</v>
      </c>
    </row>
    <row r="84" spans="3:6" x14ac:dyDescent="0.25">
      <c r="C84" s="23" t="s">
        <v>15</v>
      </c>
      <c r="D84" s="25">
        <v>947</v>
      </c>
      <c r="E84" s="29">
        <v>3</v>
      </c>
      <c r="F84" s="54">
        <f>D84*E84/Dolar</f>
        <v>553.80116959064333</v>
      </c>
    </row>
    <row r="85" spans="3:6" x14ac:dyDescent="0.25">
      <c r="C85" s="23" t="s">
        <v>16</v>
      </c>
      <c r="D85" s="25">
        <v>990</v>
      </c>
      <c r="E85" s="29">
        <v>5</v>
      </c>
      <c r="F85" s="54">
        <f>D85*E85/Dolar</f>
        <v>964.91228070175441</v>
      </c>
    </row>
    <row r="86" spans="3:6" x14ac:dyDescent="0.25">
      <c r="C86" s="23" t="s">
        <v>17</v>
      </c>
      <c r="D86" s="25">
        <v>816</v>
      </c>
      <c r="E86" s="29">
        <v>10</v>
      </c>
      <c r="F86" s="54">
        <f>D86*E86/Dolar</f>
        <v>1590.6432748538011</v>
      </c>
    </row>
    <row r="87" spans="3:6" x14ac:dyDescent="0.25">
      <c r="C87" s="23" t="s">
        <v>10</v>
      </c>
      <c r="D87" s="25">
        <v>872</v>
      </c>
      <c r="E87" s="29">
        <v>10</v>
      </c>
      <c r="F87" s="54">
        <f>D87*E87/Dolar</f>
        <v>1699.805068226121</v>
      </c>
    </row>
    <row r="88" spans="3:6" x14ac:dyDescent="0.25">
      <c r="E88" s="28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CONTEÚDO</vt:lpstr>
      <vt:lpstr>EXPLICAÇÃO</vt:lpstr>
      <vt:lpstr>EXERCICIOS</vt:lpstr>
      <vt:lpstr>Abr</vt:lpstr>
      <vt:lpstr>André</vt:lpstr>
      <vt:lpstr>Cauê</vt:lpstr>
      <vt:lpstr>Dolar</vt:lpstr>
      <vt:lpstr>Everton</vt:lpstr>
      <vt:lpstr>Fev</vt:lpstr>
      <vt:lpstr>Funcionário</vt:lpstr>
      <vt:lpstr>Jan</vt:lpstr>
      <vt:lpstr>Mar</vt:lpstr>
      <vt:lpstr>Marcos</vt:lpstr>
      <vt:lpstr>Matheus</vt:lpstr>
      <vt:lpstr>Valor_final_Exportação</vt:lpstr>
      <vt:lpstr>Vendas_un</vt:lpstr>
      <vt:lpstr>Vendas_valor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2026-02-24T00:31:57Z</dcterms:modified>
</cp:coreProperties>
</file>