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235D1F79-86D1-4183-9682-DBF987F71C1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2" i="15" l="1"/>
  <c r="L23" i="15"/>
  <c r="L14" i="15"/>
  <c r="L5" i="15"/>
  <c r="F10" i="10"/>
  <c r="B2" i="10"/>
</calcChain>
</file>

<file path=xl/sharedStrings.xml><?xml version="1.0" encoding="utf-8"?>
<sst xmlns="http://schemas.openxmlformats.org/spreadsheetml/2006/main" count="1159" uniqueCount="52">
  <si>
    <t>FUNÇÃO SOMASE</t>
  </si>
  <si>
    <t>NOMES</t>
  </si>
  <si>
    <t>JOÃO</t>
  </si>
  <si>
    <t>MARIA</t>
  </si>
  <si>
    <t>JOSÉ</t>
  </si>
  <si>
    <t>FERNANDO</t>
  </si>
  <si>
    <t>JOAQUIM</t>
  </si>
  <si>
    <t>GUSTAVO</t>
  </si>
  <si>
    <t>LUCAS</t>
  </si>
  <si>
    <t>RAFAELA</t>
  </si>
  <si>
    <t>CAMILA</t>
  </si>
  <si>
    <t>VALORES</t>
  </si>
  <si>
    <t>NOME DO VENDEDOR</t>
  </si>
  <si>
    <t>FUNÇÃO SOMASES</t>
  </si>
  <si>
    <t>PRODUTO</t>
  </si>
  <si>
    <t>CELULAR</t>
  </si>
  <si>
    <t>PAINEIS</t>
  </si>
  <si>
    <t>MOUSES</t>
  </si>
  <si>
    <t>FONES</t>
  </si>
  <si>
    <t>CODIGO</t>
  </si>
  <si>
    <t xml:space="preserve">CIDADE </t>
  </si>
  <si>
    <t>VALOR</t>
  </si>
  <si>
    <t>VENDEDOR</t>
  </si>
  <si>
    <t>SÃO PAULO</t>
  </si>
  <si>
    <t>RIO DE JANEIRO</t>
  </si>
  <si>
    <t>BAHIA</t>
  </si>
  <si>
    <t>SERGIPE</t>
  </si>
  <si>
    <t>CURITIBA</t>
  </si>
  <si>
    <t>FUNÇÃO SOMASES COM DATA /NÚMERO</t>
  </si>
  <si>
    <t>DATA</t>
  </si>
  <si>
    <t>DATA INICIAL</t>
  </si>
  <si>
    <t>DATA FINAL</t>
  </si>
  <si>
    <t>SOMA DAS VENDAS NO PERÍODO</t>
  </si>
  <si>
    <r>
      <rPr>
        <b/>
        <sz val="16"/>
        <color rgb="FFFF0000"/>
        <rFont val="Calibri"/>
        <family val="2"/>
        <scheme val="minor"/>
      </rPr>
      <t>"&gt;"&amp;</t>
    </r>
    <r>
      <rPr>
        <b/>
        <sz val="16"/>
        <color theme="1"/>
        <rFont val="Calibri"/>
        <family val="2"/>
        <scheme val="minor"/>
      </rPr>
      <t xml:space="preserve"> [CÉLULA DA DATA]</t>
    </r>
  </si>
  <si>
    <t>TOTAL R$ DE VENDAS</t>
  </si>
  <si>
    <t>TOTAL  R$ DE VENDAS</t>
  </si>
  <si>
    <t>VENDAS POR CÓDIGO</t>
  </si>
  <si>
    <t>CÓDIGO INICIAL</t>
  </si>
  <si>
    <t>CÓDIGO FINAL</t>
  </si>
  <si>
    <t>CIDADE</t>
  </si>
  <si>
    <t>VENDAS  POR CIDADE</t>
  </si>
  <si>
    <t>VENDAS POR VENDEDOR</t>
  </si>
  <si>
    <t>VENDAS POR CIDADE E  VENDEDOR</t>
  </si>
  <si>
    <t>&gt;&gt; ONE-LINER &lt;&lt;</t>
  </si>
  <si>
    <t>&gt;&gt; CONTEÚDO DA AULA &lt;&lt;</t>
  </si>
  <si>
    <t>1. Função SOMASE</t>
  </si>
  <si>
    <t>2. Função SOMASES</t>
  </si>
  <si>
    <t>3. Utilizando SOMASES com data e número</t>
  </si>
  <si>
    <t>&gt; A premissa é que a matriz seja do mesmo tamanho</t>
  </si>
  <si>
    <t>"A função SOMASE soma um intervalo de valores baseado em um critério, enquanto o SOMASES é utilizado quando se há necessidade de 2 ou mais critérios."</t>
  </si>
  <si>
    <t>(faz-se necessário utilização da aspas + o símbolo de concatenar)</t>
  </si>
  <si>
    <t>Funções SOMASE e SOMASES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</si>
</sst>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36"/>
      <color theme="0" tint="-4.9989318521683403E-2"/>
      <name val="Calibri"/>
      <family val="2"/>
      <scheme val="minor"/>
    </font>
    <font>
      <sz val="28"/>
      <color theme="0" tint="-4.9989318521683403E-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5286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/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/>
    <xf numFmtId="4" fontId="2" fillId="2" borderId="8">
      <alignment horizontal="left" vertical="center" indent="1"/>
    </xf>
    <xf numFmtId="16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3" borderId="17" xfId="0" applyFont="1" applyFill="1" applyBorder="1"/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top"/>
    </xf>
    <xf numFmtId="0" fontId="9" fillId="3" borderId="21" xfId="0" applyFont="1" applyFill="1" applyBorder="1" applyAlignment="1">
      <alignment vertical="top" wrapText="1"/>
    </xf>
    <xf numFmtId="0" fontId="9" fillId="3" borderId="22" xfId="0" applyFont="1" applyFill="1" applyBorder="1" applyAlignment="1">
      <alignment vertical="top" wrapText="1"/>
    </xf>
    <xf numFmtId="0" fontId="0" fillId="3" borderId="18" xfId="0" applyFill="1" applyBorder="1"/>
    <xf numFmtId="0" fontId="0" fillId="3" borderId="19" xfId="0" applyFill="1" applyBorder="1"/>
    <xf numFmtId="0" fontId="10" fillId="3" borderId="23" xfId="0" applyFont="1" applyFill="1" applyBorder="1"/>
    <xf numFmtId="0" fontId="0" fillId="3" borderId="0" xfId="0" applyFill="1"/>
    <xf numFmtId="0" fontId="10" fillId="3" borderId="0" xfId="0" applyFont="1" applyFill="1"/>
    <xf numFmtId="0" fontId="10" fillId="3" borderId="24" xfId="0" applyFont="1" applyFill="1" applyBorder="1"/>
    <xf numFmtId="0" fontId="10" fillId="3" borderId="20" xfId="0" applyFont="1" applyFill="1" applyBorder="1"/>
    <xf numFmtId="0" fontId="0" fillId="3" borderId="21" xfId="0" applyFill="1" applyBorder="1"/>
    <xf numFmtId="0" fontId="0" fillId="3" borderId="22" xfId="0" applyFill="1" applyBorder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3" fillId="5" borderId="33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44" fontId="0" fillId="0" borderId="36" xfId="4" applyFont="1" applyBorder="1" applyAlignment="1">
      <alignment horizontal="center"/>
    </xf>
    <xf numFmtId="0" fontId="0" fillId="0" borderId="37" xfId="0" applyBorder="1" applyAlignment="1">
      <alignment horizontal="center"/>
    </xf>
    <xf numFmtId="44" fontId="0" fillId="0" borderId="38" xfId="4" applyFont="1" applyBorder="1" applyAlignment="1">
      <alignment horizontal="center"/>
    </xf>
    <xf numFmtId="0" fontId="0" fillId="0" borderId="39" xfId="0" applyBorder="1" applyAlignment="1">
      <alignment horizontal="center"/>
    </xf>
    <xf numFmtId="44" fontId="0" fillId="0" borderId="40" xfId="4" applyFont="1" applyBorder="1" applyAlignment="1">
      <alignment horizontal="center"/>
    </xf>
    <xf numFmtId="0" fontId="13" fillId="5" borderId="41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0" fillId="4" borderId="29" xfId="0" applyFill="1" applyBorder="1"/>
    <xf numFmtId="0" fontId="11" fillId="0" borderId="0" xfId="0" applyFont="1" applyBorder="1" applyAlignment="1">
      <alignment horizontal="right"/>
    </xf>
    <xf numFmtId="0" fontId="15" fillId="5" borderId="33" xfId="0" applyFont="1" applyFill="1" applyBorder="1" applyAlignment="1">
      <alignment horizontal="center"/>
    </xf>
    <xf numFmtId="0" fontId="15" fillId="5" borderId="49" xfId="0" applyFont="1" applyFill="1" applyBorder="1" applyAlignment="1">
      <alignment horizontal="center"/>
    </xf>
    <xf numFmtId="0" fontId="15" fillId="5" borderId="34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5" borderId="49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16" fillId="0" borderId="0" xfId="0" applyFont="1" applyAlignment="1">
      <alignment horizontal="right"/>
    </xf>
    <xf numFmtId="14" fontId="0" fillId="0" borderId="50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9" xfId="0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0" fontId="13" fillId="5" borderId="26" xfId="0" applyFont="1" applyFill="1" applyBorder="1" applyAlignment="1">
      <alignment horizontal="center"/>
    </xf>
    <xf numFmtId="44" fontId="0" fillId="0" borderId="34" xfId="4" applyFont="1" applyBorder="1" applyAlignment="1">
      <alignment horizontal="center"/>
    </xf>
    <xf numFmtId="0" fontId="12" fillId="0" borderId="0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44" fontId="6" fillId="5" borderId="27" xfId="4" applyFont="1" applyFill="1" applyBorder="1" applyAlignment="1">
      <alignment horizontal="center"/>
    </xf>
    <xf numFmtId="44" fontId="6" fillId="5" borderId="28" xfId="4" applyFont="1" applyFill="1" applyBorder="1" applyAlignment="1">
      <alignment horizontal="center"/>
    </xf>
    <xf numFmtId="44" fontId="6" fillId="5" borderId="30" xfId="4" applyFont="1" applyFill="1" applyBorder="1" applyAlignment="1">
      <alignment horizontal="center"/>
    </xf>
    <xf numFmtId="0" fontId="19" fillId="0" borderId="56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14" fontId="0" fillId="4" borderId="52" xfId="0" applyNumberFormat="1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44" fontId="0" fillId="5" borderId="52" xfId="4" applyFont="1" applyFill="1" applyBorder="1" applyAlignment="1">
      <alignment horizontal="center"/>
    </xf>
    <xf numFmtId="44" fontId="0" fillId="5" borderId="53" xfId="4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44" fontId="18" fillId="5" borderId="31" xfId="4" applyFont="1" applyFill="1" applyBorder="1" applyAlignment="1">
      <alignment horizontal="center" vertical="center"/>
    </xf>
    <xf numFmtId="44" fontId="18" fillId="5" borderId="43" xfId="4" applyFont="1" applyFill="1" applyBorder="1" applyAlignment="1">
      <alignment horizontal="center" vertical="center"/>
    </xf>
    <xf numFmtId="44" fontId="18" fillId="5" borderId="46" xfId="4" applyFont="1" applyFill="1" applyBorder="1" applyAlignment="1">
      <alignment horizontal="center" vertical="center"/>
    </xf>
    <xf numFmtId="44" fontId="18" fillId="5" borderId="32" xfId="4" applyFont="1" applyFill="1" applyBorder="1" applyAlignment="1">
      <alignment horizontal="center" vertical="center"/>
    </xf>
    <xf numFmtId="44" fontId="18" fillId="5" borderId="0" xfId="4" applyFont="1" applyFill="1" applyBorder="1" applyAlignment="1">
      <alignment horizontal="center" vertical="center"/>
    </xf>
    <xf numFmtId="44" fontId="18" fillId="5" borderId="47" xfId="4" applyFont="1" applyFill="1" applyBorder="1" applyAlignment="1">
      <alignment horizontal="center" vertical="center"/>
    </xf>
    <xf numFmtId="44" fontId="18" fillId="5" borderId="44" xfId="4" applyFont="1" applyFill="1" applyBorder="1" applyAlignment="1">
      <alignment horizontal="center" vertical="center"/>
    </xf>
    <xf numFmtId="44" fontId="18" fillId="5" borderId="45" xfId="4" applyFont="1" applyFill="1" applyBorder="1" applyAlignment="1">
      <alignment horizontal="center" vertical="center"/>
    </xf>
    <xf numFmtId="44" fontId="18" fillId="5" borderId="48" xfId="4" applyFont="1" applyFill="1" applyBorder="1" applyAlignment="1">
      <alignment horizontal="center" vertical="center"/>
    </xf>
    <xf numFmtId="44" fontId="17" fillId="5" borderId="31" xfId="4" applyFont="1" applyFill="1" applyBorder="1" applyAlignment="1">
      <alignment horizontal="center" vertical="center"/>
    </xf>
    <xf numFmtId="44" fontId="17" fillId="5" borderId="43" xfId="4" applyFont="1" applyFill="1" applyBorder="1" applyAlignment="1">
      <alignment horizontal="center" vertical="center"/>
    </xf>
    <xf numFmtId="44" fontId="17" fillId="5" borderId="46" xfId="4" applyFont="1" applyFill="1" applyBorder="1" applyAlignment="1">
      <alignment horizontal="center" vertical="center"/>
    </xf>
    <xf numFmtId="44" fontId="17" fillId="5" borderId="32" xfId="4" applyFont="1" applyFill="1" applyBorder="1" applyAlignment="1">
      <alignment horizontal="center" vertical="center"/>
    </xf>
    <xf numFmtId="44" fontId="17" fillId="5" borderId="0" xfId="4" applyFont="1" applyFill="1" applyBorder="1" applyAlignment="1">
      <alignment horizontal="center" vertical="center"/>
    </xf>
    <xf numFmtId="44" fontId="17" fillId="5" borderId="47" xfId="4" applyFont="1" applyFill="1" applyBorder="1" applyAlignment="1">
      <alignment horizontal="center" vertical="center"/>
    </xf>
    <xf numFmtId="44" fontId="17" fillId="5" borderId="44" xfId="4" applyFont="1" applyFill="1" applyBorder="1" applyAlignment="1">
      <alignment horizontal="center" vertical="center"/>
    </xf>
    <xf numFmtId="44" fontId="17" fillId="5" borderId="45" xfId="4" applyFont="1" applyFill="1" applyBorder="1" applyAlignment="1">
      <alignment horizontal="center" vertical="center"/>
    </xf>
    <xf numFmtId="44" fontId="17" fillId="5" borderId="48" xfId="4" applyFont="1" applyFill="1" applyBorder="1" applyAlignment="1">
      <alignment horizontal="center" vertical="center"/>
    </xf>
  </cellXfs>
  <cellStyles count="5">
    <cellStyle name="Moeda" xfId="4" builtinId="4"/>
    <cellStyle name="Normal" xfId="0" builtinId="0"/>
    <cellStyle name="Normal 2" xfId="1" xr:uid="{00000000-0005-0000-0000-000002000000}"/>
    <cellStyle name="SAPBEXfilterDrill" xfId="2" xr:uid="{00000000-0005-0000-0000-000003000000}"/>
    <cellStyle name="Vírgula 2" xfId="3" xr:uid="{00000000-0005-0000-0000-000004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4</xdr:row>
      <xdr:rowOff>66675</xdr:rowOff>
    </xdr:from>
    <xdr:to>
      <xdr:col>11</xdr:col>
      <xdr:colOff>266300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6DDED6-FAC0-49DA-959B-5A958073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8620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507AD2-DD85-4597-8397-0AE83D9D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4</xdr:row>
      <xdr:rowOff>66675</xdr:rowOff>
    </xdr:from>
    <xdr:to>
      <xdr:col>10</xdr:col>
      <xdr:colOff>123425</xdr:colOff>
      <xdr:row>5</xdr:row>
      <xdr:rowOff>133318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A021505-5378-4E5D-8890-EB2FF89F7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2920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D721A8-ACD6-42A5-BB1B-E263A0430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F11" sqref="F11"/>
    </sheetView>
  </sheetViews>
  <sheetFormatPr defaultRowHeight="15" x14ac:dyDescent="0.25"/>
  <cols>
    <col min="5" max="5" width="10.85546875" customWidth="1"/>
  </cols>
  <sheetData>
    <row r="2" spans="2:17" ht="15" customHeight="1" x14ac:dyDescent="0.25">
      <c r="B2" s="59" t="s">
        <v>51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2:17" ht="15" customHeigh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2:17" ht="15" customHeight="1" x14ac:dyDescent="0.2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x14ac:dyDescent="0.2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</row>
    <row r="6" spans="2:17" ht="15" customHeight="1" x14ac:dyDescent="0.2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2:17" ht="15.75" thickBot="1" x14ac:dyDescent="0.3"/>
    <row r="8" spans="2:17" ht="15.75" customHeight="1" x14ac:dyDescent="0.25">
      <c r="B8" s="11" t="s">
        <v>43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2:17" x14ac:dyDescent="0.25">
      <c r="B9" s="14" t="s">
        <v>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</row>
    <row r="10" spans="2:17" ht="6.75" customHeight="1" thickBot="1" x14ac:dyDescent="0.3"/>
    <row r="11" spans="2:17" ht="15.75" x14ac:dyDescent="0.25">
      <c r="B11" s="11" t="s">
        <v>44</v>
      </c>
      <c r="C11" s="17"/>
      <c r="D11" s="17"/>
      <c r="E11" s="18"/>
    </row>
    <row r="12" spans="2:17" x14ac:dyDescent="0.25">
      <c r="B12" s="19" t="s">
        <v>45</v>
      </c>
      <c r="C12" s="20"/>
      <c r="D12" s="21"/>
      <c r="E12" s="22"/>
    </row>
    <row r="13" spans="2:17" x14ac:dyDescent="0.25">
      <c r="B13" s="19" t="s">
        <v>46</v>
      </c>
      <c r="C13" s="20"/>
      <c r="D13" s="21"/>
      <c r="E13" s="22"/>
    </row>
    <row r="14" spans="2:17" x14ac:dyDescent="0.25">
      <c r="B14" s="23" t="s">
        <v>47</v>
      </c>
      <c r="C14" s="24"/>
      <c r="D14" s="24"/>
      <c r="E14" s="25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94"/>
  <sheetViews>
    <sheetView showGridLines="0" topLeftCell="A2" workbookViewId="0">
      <selection activeCell="F9" sqref="F9"/>
    </sheetView>
  </sheetViews>
  <sheetFormatPr defaultRowHeight="15" x14ac:dyDescent="0.25"/>
  <cols>
    <col min="2" max="2" width="16.85546875" bestFit="1" customWidth="1"/>
    <col min="3" max="3" width="16.7109375" customWidth="1"/>
    <col min="4" max="4" width="13.28515625" bestFit="1" customWidth="1"/>
    <col min="5" max="5" width="14.8554687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2" spans="2:17" ht="15" customHeight="1" x14ac:dyDescent="0.25">
      <c r="B2" s="59" t="str">
        <f>CONTEÚDO!B2</f>
        <v>Funções SOMASE e SOMASES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2:17" ht="15" customHeigh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2:17" ht="15" customHeight="1" x14ac:dyDescent="0.2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x14ac:dyDescent="0.2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</row>
    <row r="6" spans="2:17" ht="15" customHeight="1" x14ac:dyDescent="0.2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2:17" ht="15.75" thickBot="1" x14ac:dyDescent="0.3"/>
    <row r="8" spans="2:17" ht="15.75" x14ac:dyDescent="0.25">
      <c r="B8" s="28" t="s">
        <v>0</v>
      </c>
      <c r="E8" s="27" t="s">
        <v>12</v>
      </c>
      <c r="F8" s="68" t="s">
        <v>3</v>
      </c>
      <c r="G8" s="69"/>
      <c r="H8" s="70"/>
      <c r="J8" t="s">
        <v>48</v>
      </c>
    </row>
    <row r="9" spans="2:17" ht="5.25" customHeight="1" thickBot="1" x14ac:dyDescent="0.3">
      <c r="E9" s="26"/>
    </row>
    <row r="10" spans="2:17" ht="15.75" thickBot="1" x14ac:dyDescent="0.3">
      <c r="B10" s="37" t="s">
        <v>1</v>
      </c>
      <c r="C10" s="38" t="s">
        <v>11</v>
      </c>
      <c r="E10" s="27" t="s">
        <v>35</v>
      </c>
      <c r="F10" s="71">
        <f>SUMIF(B11:B40, F8, C11:C40)</f>
        <v>717</v>
      </c>
      <c r="G10" s="72"/>
      <c r="H10" s="73"/>
    </row>
    <row r="11" spans="2:17" x14ac:dyDescent="0.25">
      <c r="B11" s="35" t="s">
        <v>3</v>
      </c>
      <c r="C11" s="36">
        <v>87</v>
      </c>
    </row>
    <row r="12" spans="2:17" x14ac:dyDescent="0.25">
      <c r="B12" s="31" t="s">
        <v>3</v>
      </c>
      <c r="C12" s="32">
        <v>145</v>
      </c>
    </row>
    <row r="13" spans="2:17" x14ac:dyDescent="0.25">
      <c r="B13" s="31" t="s">
        <v>2</v>
      </c>
      <c r="C13" s="32">
        <v>154</v>
      </c>
    </row>
    <row r="14" spans="2:17" x14ac:dyDescent="0.25">
      <c r="B14" s="31" t="s">
        <v>9</v>
      </c>
      <c r="C14" s="32">
        <v>36</v>
      </c>
    </row>
    <row r="15" spans="2:17" x14ac:dyDescent="0.25">
      <c r="B15" s="31" t="s">
        <v>3</v>
      </c>
      <c r="C15" s="32">
        <v>42</v>
      </c>
    </row>
    <row r="16" spans="2:17" x14ac:dyDescent="0.25">
      <c r="B16" s="31" t="s">
        <v>10</v>
      </c>
      <c r="C16" s="32">
        <v>44</v>
      </c>
    </row>
    <row r="17" spans="2:3" x14ac:dyDescent="0.25">
      <c r="B17" s="31" t="s">
        <v>3</v>
      </c>
      <c r="C17" s="32">
        <v>168</v>
      </c>
    </row>
    <row r="18" spans="2:3" x14ac:dyDescent="0.25">
      <c r="B18" s="31" t="s">
        <v>6</v>
      </c>
      <c r="C18" s="32">
        <v>158</v>
      </c>
    </row>
    <row r="19" spans="2:3" x14ac:dyDescent="0.25">
      <c r="B19" s="31" t="s">
        <v>7</v>
      </c>
      <c r="C19" s="32">
        <v>64</v>
      </c>
    </row>
    <row r="20" spans="2:3" x14ac:dyDescent="0.25">
      <c r="B20" s="31" t="s">
        <v>3</v>
      </c>
      <c r="C20" s="32">
        <v>116</v>
      </c>
    </row>
    <row r="21" spans="2:3" x14ac:dyDescent="0.25">
      <c r="B21" s="31" t="s">
        <v>6</v>
      </c>
      <c r="C21" s="32">
        <v>129</v>
      </c>
    </row>
    <row r="22" spans="2:3" x14ac:dyDescent="0.25">
      <c r="B22" s="31" t="s">
        <v>3</v>
      </c>
      <c r="C22" s="32">
        <v>159</v>
      </c>
    </row>
    <row r="23" spans="2:3" x14ac:dyDescent="0.25">
      <c r="B23" s="31" t="s">
        <v>4</v>
      </c>
      <c r="C23" s="32">
        <v>150</v>
      </c>
    </row>
    <row r="24" spans="2:3" x14ac:dyDescent="0.25">
      <c r="B24" s="31" t="s">
        <v>8</v>
      </c>
      <c r="C24" s="32">
        <v>81</v>
      </c>
    </row>
    <row r="25" spans="2:3" x14ac:dyDescent="0.25">
      <c r="B25" s="31" t="s">
        <v>6</v>
      </c>
      <c r="C25" s="32">
        <v>100</v>
      </c>
    </row>
    <row r="26" spans="2:3" x14ac:dyDescent="0.25">
      <c r="B26" s="31" t="s">
        <v>7</v>
      </c>
      <c r="C26" s="32">
        <v>169</v>
      </c>
    </row>
    <row r="27" spans="2:3" x14ac:dyDescent="0.25">
      <c r="B27" s="31" t="s">
        <v>7</v>
      </c>
      <c r="C27" s="32">
        <v>99</v>
      </c>
    </row>
    <row r="28" spans="2:3" x14ac:dyDescent="0.25">
      <c r="B28" s="31" t="s">
        <v>4</v>
      </c>
      <c r="C28" s="32">
        <v>54</v>
      </c>
    </row>
    <row r="29" spans="2:3" x14ac:dyDescent="0.25">
      <c r="B29" s="31" t="s">
        <v>6</v>
      </c>
      <c r="C29" s="32">
        <v>38</v>
      </c>
    </row>
    <row r="30" spans="2:3" x14ac:dyDescent="0.25">
      <c r="B30" s="31" t="s">
        <v>9</v>
      </c>
      <c r="C30" s="32">
        <v>136</v>
      </c>
    </row>
    <row r="31" spans="2:3" x14ac:dyDescent="0.25">
      <c r="B31" s="31" t="s">
        <v>4</v>
      </c>
      <c r="C31" s="32">
        <v>21</v>
      </c>
    </row>
    <row r="32" spans="2:3" x14ac:dyDescent="0.25">
      <c r="B32" s="31" t="s">
        <v>5</v>
      </c>
      <c r="C32" s="32">
        <v>174</v>
      </c>
    </row>
    <row r="33" spans="2:10" x14ac:dyDescent="0.25">
      <c r="B33" s="31" t="s">
        <v>2</v>
      </c>
      <c r="C33" s="32">
        <v>106</v>
      </c>
    </row>
    <row r="34" spans="2:10" x14ac:dyDescent="0.25">
      <c r="B34" s="31" t="s">
        <v>9</v>
      </c>
      <c r="C34" s="32">
        <v>128</v>
      </c>
    </row>
    <row r="35" spans="2:10" x14ac:dyDescent="0.25">
      <c r="B35" s="31" t="s">
        <v>2</v>
      </c>
      <c r="C35" s="32">
        <v>112</v>
      </c>
    </row>
    <row r="36" spans="2:10" x14ac:dyDescent="0.25">
      <c r="B36" s="31" t="s">
        <v>5</v>
      </c>
      <c r="C36" s="32">
        <v>144</v>
      </c>
    </row>
    <row r="37" spans="2:10" x14ac:dyDescent="0.25">
      <c r="B37" s="31" t="s">
        <v>10</v>
      </c>
      <c r="C37" s="32">
        <v>145</v>
      </c>
    </row>
    <row r="38" spans="2:10" x14ac:dyDescent="0.25">
      <c r="B38" s="31" t="s">
        <v>9</v>
      </c>
      <c r="C38" s="32">
        <v>106</v>
      </c>
    </row>
    <row r="39" spans="2:10" x14ac:dyDescent="0.25">
      <c r="B39" s="31" t="s">
        <v>9</v>
      </c>
      <c r="C39" s="32">
        <v>41</v>
      </c>
    </row>
    <row r="40" spans="2:10" ht="15.75" thickBot="1" x14ac:dyDescent="0.3">
      <c r="B40" s="33" t="s">
        <v>9</v>
      </c>
      <c r="C40" s="34">
        <v>80</v>
      </c>
    </row>
    <row r="41" spans="2:10" ht="15.75" thickBot="1" x14ac:dyDescent="0.3"/>
    <row r="42" spans="2:10" x14ac:dyDescent="0.25">
      <c r="G42" s="27" t="s">
        <v>12</v>
      </c>
      <c r="H42" s="68"/>
      <c r="I42" s="69"/>
      <c r="J42" s="70"/>
    </row>
    <row r="43" spans="2:10" ht="3.95" customHeight="1" thickBot="1" x14ac:dyDescent="0.3">
      <c r="G43" s="27"/>
    </row>
    <row r="44" spans="2:10" x14ac:dyDescent="0.25">
      <c r="G44" s="27" t="s">
        <v>14</v>
      </c>
      <c r="H44" s="68"/>
      <c r="I44" s="69"/>
      <c r="J44" s="70"/>
    </row>
    <row r="45" spans="2:10" ht="3.95" customHeight="1" thickBot="1" x14ac:dyDescent="0.3">
      <c r="G45" s="27"/>
    </row>
    <row r="46" spans="2:10" ht="15.75" x14ac:dyDescent="0.25">
      <c r="B46" s="28" t="s">
        <v>13</v>
      </c>
      <c r="G46" s="27" t="s">
        <v>34</v>
      </c>
      <c r="H46" s="71"/>
      <c r="I46" s="72"/>
      <c r="J46" s="73"/>
    </row>
    <row r="47" spans="2:10" ht="5.25" customHeight="1" thickBot="1" x14ac:dyDescent="0.3">
      <c r="H47" s="46"/>
      <c r="I47" s="46"/>
      <c r="J47" s="46"/>
    </row>
    <row r="48" spans="2:10" x14ac:dyDescent="0.25">
      <c r="B48" s="29" t="s">
        <v>1</v>
      </c>
      <c r="C48" s="48" t="s">
        <v>14</v>
      </c>
      <c r="D48" s="30" t="s">
        <v>11</v>
      </c>
    </row>
    <row r="49" spans="2:4" x14ac:dyDescent="0.25">
      <c r="B49" s="31" t="s">
        <v>3</v>
      </c>
      <c r="C49" s="44" t="s">
        <v>16</v>
      </c>
      <c r="D49" s="32">
        <v>87</v>
      </c>
    </row>
    <row r="50" spans="2:4" x14ac:dyDescent="0.25">
      <c r="B50" s="31" t="s">
        <v>3</v>
      </c>
      <c r="C50" s="44" t="s">
        <v>16</v>
      </c>
      <c r="D50" s="32">
        <v>145</v>
      </c>
    </row>
    <row r="51" spans="2:4" x14ac:dyDescent="0.25">
      <c r="B51" s="31" t="s">
        <v>2</v>
      </c>
      <c r="C51" s="44" t="s">
        <v>18</v>
      </c>
      <c r="D51" s="32">
        <v>154</v>
      </c>
    </row>
    <row r="52" spans="2:4" x14ac:dyDescent="0.25">
      <c r="B52" s="31" t="s">
        <v>9</v>
      </c>
      <c r="C52" s="44" t="s">
        <v>15</v>
      </c>
      <c r="D52" s="32">
        <v>36</v>
      </c>
    </row>
    <row r="53" spans="2:4" x14ac:dyDescent="0.25">
      <c r="B53" s="31" t="s">
        <v>3</v>
      </c>
      <c r="C53" s="44" t="s">
        <v>16</v>
      </c>
      <c r="D53" s="32">
        <v>42</v>
      </c>
    </row>
    <row r="54" spans="2:4" x14ac:dyDescent="0.25">
      <c r="B54" s="31" t="s">
        <v>10</v>
      </c>
      <c r="C54" s="44" t="s">
        <v>16</v>
      </c>
      <c r="D54" s="32">
        <v>44</v>
      </c>
    </row>
    <row r="55" spans="2:4" x14ac:dyDescent="0.25">
      <c r="B55" s="31" t="s">
        <v>3</v>
      </c>
      <c r="C55" s="44" t="s">
        <v>17</v>
      </c>
      <c r="D55" s="32">
        <v>168</v>
      </c>
    </row>
    <row r="56" spans="2:4" x14ac:dyDescent="0.25">
      <c r="B56" s="31" t="s">
        <v>6</v>
      </c>
      <c r="C56" s="44" t="s">
        <v>17</v>
      </c>
      <c r="D56" s="32">
        <v>158</v>
      </c>
    </row>
    <row r="57" spans="2:4" x14ac:dyDescent="0.25">
      <c r="B57" s="31" t="s">
        <v>7</v>
      </c>
      <c r="C57" s="44" t="s">
        <v>16</v>
      </c>
      <c r="D57" s="32">
        <v>64</v>
      </c>
    </row>
    <row r="58" spans="2:4" x14ac:dyDescent="0.25">
      <c r="B58" s="31" t="s">
        <v>3</v>
      </c>
      <c r="C58" s="44" t="s">
        <v>16</v>
      </c>
      <c r="D58" s="32">
        <v>116</v>
      </c>
    </row>
    <row r="59" spans="2:4" x14ac:dyDescent="0.25">
      <c r="B59" s="31" t="s">
        <v>6</v>
      </c>
      <c r="C59" s="44" t="s">
        <v>15</v>
      </c>
      <c r="D59" s="32">
        <v>129</v>
      </c>
    </row>
    <row r="60" spans="2:4" x14ac:dyDescent="0.25">
      <c r="B60" s="31" t="s">
        <v>3</v>
      </c>
      <c r="C60" s="44" t="s">
        <v>18</v>
      </c>
      <c r="D60" s="32">
        <v>159</v>
      </c>
    </row>
    <row r="61" spans="2:4" x14ac:dyDescent="0.25">
      <c r="B61" s="31" t="s">
        <v>4</v>
      </c>
      <c r="C61" s="44" t="s">
        <v>15</v>
      </c>
      <c r="D61" s="32">
        <v>150</v>
      </c>
    </row>
    <row r="62" spans="2:4" x14ac:dyDescent="0.25">
      <c r="B62" s="31" t="s">
        <v>8</v>
      </c>
      <c r="C62" s="44" t="s">
        <v>18</v>
      </c>
      <c r="D62" s="32">
        <v>81</v>
      </c>
    </row>
    <row r="63" spans="2:4" x14ac:dyDescent="0.25">
      <c r="B63" s="31" t="s">
        <v>3</v>
      </c>
      <c r="C63" s="44" t="s">
        <v>17</v>
      </c>
      <c r="D63" s="32">
        <v>100</v>
      </c>
    </row>
    <row r="64" spans="2:4" x14ac:dyDescent="0.25">
      <c r="B64" s="31" t="s">
        <v>7</v>
      </c>
      <c r="C64" s="44" t="s">
        <v>17</v>
      </c>
      <c r="D64" s="32">
        <v>169</v>
      </c>
    </row>
    <row r="65" spans="2:10" x14ac:dyDescent="0.25">
      <c r="B65" s="31" t="s">
        <v>7</v>
      </c>
      <c r="C65" s="44" t="s">
        <v>17</v>
      </c>
      <c r="D65" s="32">
        <v>99</v>
      </c>
    </row>
    <row r="66" spans="2:10" x14ac:dyDescent="0.25">
      <c r="B66" s="31" t="s">
        <v>4</v>
      </c>
      <c r="C66" s="44" t="s">
        <v>18</v>
      </c>
      <c r="D66" s="32">
        <v>54</v>
      </c>
    </row>
    <row r="67" spans="2:10" x14ac:dyDescent="0.25">
      <c r="B67" s="31" t="s">
        <v>6</v>
      </c>
      <c r="C67" s="44" t="s">
        <v>15</v>
      </c>
      <c r="D67" s="32">
        <v>38</v>
      </c>
    </row>
    <row r="68" spans="2:10" x14ac:dyDescent="0.25">
      <c r="B68" s="31" t="s">
        <v>9</v>
      </c>
      <c r="C68" s="44" t="s">
        <v>17</v>
      </c>
      <c r="D68" s="32">
        <v>136</v>
      </c>
    </row>
    <row r="69" spans="2:10" x14ac:dyDescent="0.25">
      <c r="B69" s="31" t="s">
        <v>4</v>
      </c>
      <c r="C69" s="44" t="s">
        <v>15</v>
      </c>
      <c r="D69" s="32">
        <v>21</v>
      </c>
    </row>
    <row r="70" spans="2:10" x14ac:dyDescent="0.25">
      <c r="B70" s="31" t="s">
        <v>5</v>
      </c>
      <c r="C70" s="44" t="s">
        <v>15</v>
      </c>
      <c r="D70" s="32">
        <v>174</v>
      </c>
    </row>
    <row r="71" spans="2:10" x14ac:dyDescent="0.25">
      <c r="B71" s="31" t="s">
        <v>2</v>
      </c>
      <c r="C71" s="44" t="s">
        <v>17</v>
      </c>
      <c r="D71" s="32">
        <v>106</v>
      </c>
    </row>
    <row r="72" spans="2:10" x14ac:dyDescent="0.25">
      <c r="B72" s="31" t="s">
        <v>9</v>
      </c>
      <c r="C72" s="44" t="s">
        <v>18</v>
      </c>
      <c r="D72" s="32">
        <v>128</v>
      </c>
    </row>
    <row r="73" spans="2:10" x14ac:dyDescent="0.25">
      <c r="B73" s="31" t="s">
        <v>2</v>
      </c>
      <c r="C73" s="44" t="s">
        <v>15</v>
      </c>
      <c r="D73" s="32">
        <v>112</v>
      </c>
    </row>
    <row r="74" spans="2:10" x14ac:dyDescent="0.25">
      <c r="B74" s="31" t="s">
        <v>5</v>
      </c>
      <c r="C74" s="44" t="s">
        <v>17</v>
      </c>
      <c r="D74" s="32">
        <v>144</v>
      </c>
    </row>
    <row r="75" spans="2:10" x14ac:dyDescent="0.25">
      <c r="B75" s="31" t="s">
        <v>10</v>
      </c>
      <c r="C75" s="44" t="s">
        <v>15</v>
      </c>
      <c r="D75" s="32">
        <v>145</v>
      </c>
    </row>
    <row r="76" spans="2:10" x14ac:dyDescent="0.25">
      <c r="B76" s="31" t="s">
        <v>9</v>
      </c>
      <c r="C76" s="44" t="s">
        <v>17</v>
      </c>
      <c r="D76" s="32">
        <v>106</v>
      </c>
    </row>
    <row r="77" spans="2:10" x14ac:dyDescent="0.25">
      <c r="B77" s="31" t="s">
        <v>9</v>
      </c>
      <c r="C77" s="44" t="s">
        <v>17</v>
      </c>
      <c r="D77" s="32">
        <v>41</v>
      </c>
    </row>
    <row r="78" spans="2:10" ht="15.75" thickBot="1" x14ac:dyDescent="0.3">
      <c r="B78" s="33" t="s">
        <v>9</v>
      </c>
      <c r="C78" s="45" t="s">
        <v>18</v>
      </c>
      <c r="D78" s="34">
        <v>80</v>
      </c>
    </row>
    <row r="79" spans="2:10" x14ac:dyDescent="0.25">
      <c r="H79" s="27" t="s">
        <v>30</v>
      </c>
      <c r="I79" s="80">
        <v>42014</v>
      </c>
      <c r="J79" s="81"/>
    </row>
    <row r="80" spans="2:10" s="2" customFormat="1" ht="3.75" customHeight="1" thickBot="1" x14ac:dyDescent="0.3">
      <c r="H80" s="27"/>
      <c r="I80" s="49"/>
      <c r="J80" s="46"/>
    </row>
    <row r="81" spans="2:10" x14ac:dyDescent="0.25">
      <c r="H81" s="27" t="s">
        <v>31</v>
      </c>
      <c r="I81" s="80">
        <v>42017</v>
      </c>
      <c r="J81" s="81"/>
    </row>
    <row r="82" spans="2:10" ht="15.75" x14ac:dyDescent="0.25">
      <c r="B82" s="28" t="s">
        <v>28</v>
      </c>
      <c r="H82" s="27"/>
    </row>
    <row r="83" spans="2:10" ht="6.75" customHeight="1" thickBot="1" x14ac:dyDescent="0.3">
      <c r="H83" s="27"/>
    </row>
    <row r="84" spans="2:10" ht="15.75" thickBot="1" x14ac:dyDescent="0.3">
      <c r="B84" s="47" t="s">
        <v>1</v>
      </c>
      <c r="C84" s="47" t="s">
        <v>14</v>
      </c>
      <c r="D84" s="56" t="s">
        <v>29</v>
      </c>
      <c r="E84" s="38" t="s">
        <v>11</v>
      </c>
      <c r="H84" s="50" t="s">
        <v>32</v>
      </c>
      <c r="I84" s="82"/>
      <c r="J84" s="83"/>
    </row>
    <row r="85" spans="2:10" ht="15" customHeight="1" x14ac:dyDescent="0.25">
      <c r="B85" s="52" t="s">
        <v>3</v>
      </c>
      <c r="C85" s="53" t="s">
        <v>16</v>
      </c>
      <c r="D85" s="54">
        <v>42014</v>
      </c>
      <c r="E85" s="57">
        <v>87</v>
      </c>
    </row>
    <row r="86" spans="2:10" ht="15" customHeight="1" x14ac:dyDescent="0.25">
      <c r="B86" s="31" t="s">
        <v>3</v>
      </c>
      <c r="C86" s="44" t="s">
        <v>16</v>
      </c>
      <c r="D86" s="51">
        <v>42015</v>
      </c>
      <c r="E86" s="32">
        <v>145</v>
      </c>
    </row>
    <row r="87" spans="2:10" ht="15" customHeight="1" x14ac:dyDescent="0.25">
      <c r="B87" s="31" t="s">
        <v>2</v>
      </c>
      <c r="C87" s="44" t="s">
        <v>18</v>
      </c>
      <c r="D87" s="51">
        <v>42047</v>
      </c>
      <c r="E87" s="32">
        <v>154</v>
      </c>
    </row>
    <row r="88" spans="2:10" x14ac:dyDescent="0.25">
      <c r="B88" s="31" t="s">
        <v>9</v>
      </c>
      <c r="C88" s="44" t="s">
        <v>15</v>
      </c>
      <c r="D88" s="51">
        <v>42017</v>
      </c>
      <c r="E88" s="32">
        <v>36</v>
      </c>
    </row>
    <row r="89" spans="2:10" ht="15.75" thickBot="1" x14ac:dyDescent="0.3">
      <c r="B89" s="31" t="s">
        <v>3</v>
      </c>
      <c r="C89" s="44" t="s">
        <v>16</v>
      </c>
      <c r="D89" s="51">
        <v>42077</v>
      </c>
      <c r="E89" s="32">
        <v>42</v>
      </c>
    </row>
    <row r="90" spans="2:10" x14ac:dyDescent="0.25">
      <c r="B90" s="31" t="s">
        <v>10</v>
      </c>
      <c r="C90" s="44" t="s">
        <v>16</v>
      </c>
      <c r="D90" s="51">
        <v>42019</v>
      </c>
      <c r="E90" s="32">
        <v>44</v>
      </c>
      <c r="H90" s="84" t="s">
        <v>33</v>
      </c>
      <c r="I90" s="85"/>
      <c r="J90" s="86"/>
    </row>
    <row r="91" spans="2:10" x14ac:dyDescent="0.25">
      <c r="B91" s="31" t="s">
        <v>3</v>
      </c>
      <c r="C91" s="44" t="s">
        <v>17</v>
      </c>
      <c r="D91" s="51">
        <v>42020</v>
      </c>
      <c r="E91" s="32">
        <v>168</v>
      </c>
      <c r="H91" s="87"/>
      <c r="I91" s="88"/>
      <c r="J91" s="89"/>
    </row>
    <row r="92" spans="2:10" ht="15.75" thickBot="1" x14ac:dyDescent="0.3">
      <c r="B92" s="33" t="s">
        <v>6</v>
      </c>
      <c r="C92" s="45" t="s">
        <v>17</v>
      </c>
      <c r="D92" s="55">
        <v>42355</v>
      </c>
      <c r="E92" s="34">
        <v>158</v>
      </c>
      <c r="H92" s="90"/>
      <c r="I92" s="91"/>
      <c r="J92" s="92"/>
    </row>
    <row r="93" spans="2:10" x14ac:dyDescent="0.25">
      <c r="H93" s="74" t="s">
        <v>50</v>
      </c>
      <c r="I93" s="75"/>
      <c r="J93" s="76"/>
    </row>
    <row r="94" spans="2:10" x14ac:dyDescent="0.25">
      <c r="H94" s="77"/>
      <c r="I94" s="78"/>
      <c r="J94" s="79"/>
    </row>
  </sheetData>
  <mergeCells count="11">
    <mergeCell ref="H93:J94"/>
    <mergeCell ref="I79:J79"/>
    <mergeCell ref="I81:J81"/>
    <mergeCell ref="I84:J84"/>
    <mergeCell ref="H90:J92"/>
    <mergeCell ref="B2:Q6"/>
    <mergeCell ref="F8:H8"/>
    <mergeCell ref="F10:H10"/>
    <mergeCell ref="H42:J42"/>
    <mergeCell ref="H46:J46"/>
    <mergeCell ref="H44:J4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502"/>
  <sheetViews>
    <sheetView showGridLines="0" tabSelected="1" topLeftCell="A23" workbookViewId="0">
      <selection activeCell="L32" sqref="L32:O34"/>
    </sheetView>
  </sheetViews>
  <sheetFormatPr defaultRowHeight="15" x14ac:dyDescent="0.25"/>
  <cols>
    <col min="2" max="2" width="11" customWidth="1"/>
    <col min="3" max="3" width="23" customWidth="1"/>
    <col min="4" max="4" width="11.85546875" bestFit="1" customWidth="1"/>
    <col min="5" max="5" width="12.140625" bestFit="1" customWidth="1"/>
    <col min="10" max="10" width="13.85546875" customWidth="1"/>
    <col min="12" max="12" width="19.85546875" bestFit="1" customWidth="1"/>
  </cols>
  <sheetData>
    <row r="1" spans="2:16" ht="15.75" thickBot="1" x14ac:dyDescent="0.3"/>
    <row r="2" spans="2:16" ht="15.75" x14ac:dyDescent="0.25">
      <c r="B2" s="41" t="s">
        <v>19</v>
      </c>
      <c r="C2" s="42" t="s">
        <v>20</v>
      </c>
      <c r="D2" s="42" t="s">
        <v>22</v>
      </c>
      <c r="E2" s="43" t="s">
        <v>21</v>
      </c>
      <c r="G2" s="28" t="s">
        <v>36</v>
      </c>
      <c r="H2" s="3"/>
      <c r="I2" s="3"/>
      <c r="J2" s="3"/>
      <c r="K2" s="3"/>
      <c r="L2" s="3"/>
      <c r="M2" s="3"/>
      <c r="N2" s="3"/>
      <c r="O2" s="3"/>
      <c r="P2" s="4"/>
    </row>
    <row r="3" spans="2:16" ht="15.75" thickBot="1" x14ac:dyDescent="0.3">
      <c r="B3" s="31">
        <v>1</v>
      </c>
      <c r="C3" s="44" t="s">
        <v>26</v>
      </c>
      <c r="D3" s="44" t="s">
        <v>7</v>
      </c>
      <c r="E3" s="32">
        <v>709</v>
      </c>
      <c r="G3" s="5"/>
      <c r="H3" s="6"/>
      <c r="I3" s="6"/>
      <c r="J3" s="6"/>
      <c r="K3" s="6"/>
      <c r="L3" s="6"/>
      <c r="M3" s="6"/>
      <c r="N3" s="6"/>
      <c r="O3" s="6"/>
      <c r="P3" s="7"/>
    </row>
    <row r="4" spans="2:16" ht="15.75" thickBot="1" x14ac:dyDescent="0.3">
      <c r="B4" s="31">
        <v>2</v>
      </c>
      <c r="C4" s="44" t="s">
        <v>24</v>
      </c>
      <c r="D4" s="44" t="s">
        <v>3</v>
      </c>
      <c r="E4" s="32">
        <v>995</v>
      </c>
      <c r="G4" s="5"/>
      <c r="H4" s="6"/>
      <c r="I4" s="40" t="s">
        <v>37</v>
      </c>
      <c r="J4" s="39">
        <v>2</v>
      </c>
      <c r="K4" s="6"/>
      <c r="L4" s="58" t="s">
        <v>34</v>
      </c>
      <c r="M4" s="6"/>
      <c r="N4" s="6"/>
      <c r="O4" s="6"/>
      <c r="P4" s="7"/>
    </row>
    <row r="5" spans="2:16" ht="15.75" thickBot="1" x14ac:dyDescent="0.3">
      <c r="B5" s="31">
        <v>3</v>
      </c>
      <c r="C5" s="44" t="s">
        <v>26</v>
      </c>
      <c r="D5" s="44" t="s">
        <v>4</v>
      </c>
      <c r="E5" s="32">
        <v>330</v>
      </c>
      <c r="G5" s="5"/>
      <c r="H5" s="6"/>
      <c r="I5" s="40"/>
      <c r="J5" s="6"/>
      <c r="K5" s="6"/>
      <c r="L5" s="93">
        <f>SUMIFS(E3:E502, B3:B502, "&gt;="&amp;J4, B3:B502, "&lt;="&amp;J6)</f>
        <v>37066</v>
      </c>
      <c r="M5" s="94"/>
      <c r="N5" s="94"/>
      <c r="O5" s="95"/>
      <c r="P5" s="7"/>
    </row>
    <row r="6" spans="2:16" x14ac:dyDescent="0.25">
      <c r="B6" s="31">
        <v>4</v>
      </c>
      <c r="C6" s="44" t="s">
        <v>25</v>
      </c>
      <c r="D6" s="44" t="s">
        <v>2</v>
      </c>
      <c r="E6" s="32">
        <v>726</v>
      </c>
      <c r="G6" s="5"/>
      <c r="H6" s="6"/>
      <c r="I6" s="40" t="s">
        <v>38</v>
      </c>
      <c r="J6" s="39">
        <v>50</v>
      </c>
      <c r="K6" s="6"/>
      <c r="L6" s="96"/>
      <c r="M6" s="97"/>
      <c r="N6" s="97"/>
      <c r="O6" s="98"/>
      <c r="P6" s="7"/>
    </row>
    <row r="7" spans="2:16" x14ac:dyDescent="0.25">
      <c r="B7" s="31">
        <v>5</v>
      </c>
      <c r="C7" s="44" t="s">
        <v>25</v>
      </c>
      <c r="D7" s="44" t="s">
        <v>2</v>
      </c>
      <c r="E7" s="32">
        <v>783</v>
      </c>
      <c r="G7" s="5"/>
      <c r="H7" s="6"/>
      <c r="I7" s="40"/>
      <c r="J7" s="6"/>
      <c r="K7" s="6"/>
      <c r="L7" s="99"/>
      <c r="M7" s="100"/>
      <c r="N7" s="100"/>
      <c r="O7" s="101"/>
      <c r="P7" s="7"/>
    </row>
    <row r="8" spans="2:16" x14ac:dyDescent="0.25">
      <c r="B8" s="31">
        <v>6</v>
      </c>
      <c r="C8" s="44" t="s">
        <v>24</v>
      </c>
      <c r="D8" s="44" t="s">
        <v>8</v>
      </c>
      <c r="E8" s="32">
        <v>580</v>
      </c>
      <c r="G8" s="5"/>
      <c r="H8" s="6"/>
      <c r="I8" s="6"/>
      <c r="J8" s="6"/>
      <c r="K8" s="6"/>
      <c r="L8" s="6"/>
      <c r="M8" s="6"/>
      <c r="N8" s="6"/>
      <c r="O8" s="6"/>
      <c r="P8" s="7"/>
    </row>
    <row r="9" spans="2:16" x14ac:dyDescent="0.25">
      <c r="B9" s="31">
        <v>7</v>
      </c>
      <c r="C9" s="44" t="s">
        <v>23</v>
      </c>
      <c r="D9" s="44" t="s">
        <v>4</v>
      </c>
      <c r="E9" s="32">
        <v>1189</v>
      </c>
      <c r="G9" s="8"/>
      <c r="H9" s="9"/>
      <c r="I9" s="9"/>
      <c r="J9" s="9"/>
      <c r="K9" s="9"/>
      <c r="L9" s="9"/>
      <c r="M9" s="9"/>
      <c r="N9" s="9"/>
      <c r="O9" s="9"/>
      <c r="P9" s="10"/>
    </row>
    <row r="10" spans="2:16" x14ac:dyDescent="0.25">
      <c r="B10" s="31">
        <v>8</v>
      </c>
      <c r="C10" s="44" t="s">
        <v>25</v>
      </c>
      <c r="D10" s="44" t="s">
        <v>3</v>
      </c>
      <c r="E10" s="32">
        <v>947</v>
      </c>
    </row>
    <row r="11" spans="2:16" ht="15.75" x14ac:dyDescent="0.25">
      <c r="B11" s="31">
        <v>9</v>
      </c>
      <c r="C11" s="44" t="s">
        <v>27</v>
      </c>
      <c r="D11" s="44" t="s">
        <v>8</v>
      </c>
      <c r="E11" s="32">
        <v>341</v>
      </c>
      <c r="G11" s="28" t="s">
        <v>40</v>
      </c>
      <c r="H11" s="3"/>
      <c r="I11" s="3"/>
      <c r="J11" s="3"/>
      <c r="K11" s="3"/>
      <c r="L11" s="3"/>
      <c r="M11" s="3"/>
      <c r="N11" s="3"/>
      <c r="O11" s="3"/>
      <c r="P11" s="4"/>
    </row>
    <row r="12" spans="2:16" ht="15.75" thickBot="1" x14ac:dyDescent="0.3">
      <c r="B12" s="31">
        <v>10</v>
      </c>
      <c r="C12" s="44" t="s">
        <v>24</v>
      </c>
      <c r="D12" s="44" t="s">
        <v>4</v>
      </c>
      <c r="E12" s="32">
        <v>1120</v>
      </c>
      <c r="G12" s="5"/>
      <c r="H12" s="6"/>
      <c r="I12" s="6"/>
      <c r="J12" s="6"/>
      <c r="K12" s="6"/>
      <c r="L12" s="6"/>
      <c r="M12" s="6"/>
      <c r="N12" s="6"/>
      <c r="O12" s="6"/>
      <c r="P12" s="7"/>
    </row>
    <row r="13" spans="2:16" ht="15.75" thickBot="1" x14ac:dyDescent="0.3">
      <c r="B13" s="31">
        <v>11</v>
      </c>
      <c r="C13" s="44" t="s">
        <v>25</v>
      </c>
      <c r="D13" s="44" t="s">
        <v>9</v>
      </c>
      <c r="E13" s="32">
        <v>1177</v>
      </c>
      <c r="G13" s="5"/>
      <c r="H13" s="6"/>
      <c r="I13" s="40" t="s">
        <v>39</v>
      </c>
      <c r="J13" s="39" t="s">
        <v>23</v>
      </c>
      <c r="K13" s="6"/>
      <c r="L13" s="58" t="s">
        <v>34</v>
      </c>
      <c r="M13" s="6"/>
      <c r="N13" s="6"/>
      <c r="O13" s="6"/>
      <c r="P13" s="7"/>
    </row>
    <row r="14" spans="2:16" x14ac:dyDescent="0.25">
      <c r="B14" s="31">
        <v>12</v>
      </c>
      <c r="C14" s="44" t="s">
        <v>23</v>
      </c>
      <c r="D14" s="44" t="s">
        <v>3</v>
      </c>
      <c r="E14" s="32">
        <v>390</v>
      </c>
      <c r="G14" s="5"/>
      <c r="H14" s="6"/>
      <c r="I14" s="6"/>
      <c r="J14" s="6"/>
      <c r="K14" s="6"/>
      <c r="L14" s="102">
        <f>SUMIF(C3:C502, J13, E3:E502)</f>
        <v>68600</v>
      </c>
      <c r="M14" s="103"/>
      <c r="N14" s="103"/>
      <c r="O14" s="104"/>
      <c r="P14" s="7"/>
    </row>
    <row r="15" spans="2:16" x14ac:dyDescent="0.25">
      <c r="B15" s="31">
        <v>13</v>
      </c>
      <c r="C15" s="44" t="s">
        <v>24</v>
      </c>
      <c r="D15" s="44" t="s">
        <v>9</v>
      </c>
      <c r="E15" s="32">
        <v>526</v>
      </c>
      <c r="G15" s="5"/>
      <c r="H15" s="6"/>
      <c r="I15" s="6"/>
      <c r="J15" s="6"/>
      <c r="K15" s="6"/>
      <c r="L15" s="105"/>
      <c r="M15" s="106"/>
      <c r="N15" s="106"/>
      <c r="O15" s="107"/>
      <c r="P15" s="7"/>
    </row>
    <row r="16" spans="2:16" x14ac:dyDescent="0.25">
      <c r="B16" s="31">
        <v>14</v>
      </c>
      <c r="C16" s="44" t="s">
        <v>27</v>
      </c>
      <c r="D16" s="44" t="s">
        <v>6</v>
      </c>
      <c r="E16" s="32">
        <v>868</v>
      </c>
      <c r="G16" s="5"/>
      <c r="H16" s="6"/>
      <c r="I16" s="6"/>
      <c r="J16" s="6"/>
      <c r="K16" s="6"/>
      <c r="L16" s="108"/>
      <c r="M16" s="109"/>
      <c r="N16" s="109"/>
      <c r="O16" s="110"/>
      <c r="P16" s="7"/>
    </row>
    <row r="17" spans="2:16" x14ac:dyDescent="0.25">
      <c r="B17" s="31">
        <v>15</v>
      </c>
      <c r="C17" s="44" t="s">
        <v>25</v>
      </c>
      <c r="D17" s="44" t="s">
        <v>3</v>
      </c>
      <c r="E17" s="32">
        <v>1105</v>
      </c>
      <c r="G17" s="5"/>
      <c r="H17" s="6"/>
      <c r="I17" s="6"/>
      <c r="J17" s="6"/>
      <c r="K17" s="6"/>
      <c r="L17" s="6"/>
      <c r="M17" s="6"/>
      <c r="N17" s="6"/>
      <c r="O17" s="6"/>
      <c r="P17" s="7"/>
    </row>
    <row r="18" spans="2:16" x14ac:dyDescent="0.25">
      <c r="B18" s="31">
        <v>16</v>
      </c>
      <c r="C18" s="44" t="s">
        <v>24</v>
      </c>
      <c r="D18" s="44" t="s">
        <v>4</v>
      </c>
      <c r="E18" s="32">
        <v>1025</v>
      </c>
      <c r="G18" s="8"/>
      <c r="H18" s="9"/>
      <c r="I18" s="9"/>
      <c r="J18" s="9"/>
      <c r="K18" s="9"/>
      <c r="L18" s="9"/>
      <c r="M18" s="9"/>
      <c r="N18" s="9"/>
      <c r="O18" s="9"/>
      <c r="P18" s="10"/>
    </row>
    <row r="19" spans="2:16" x14ac:dyDescent="0.25">
      <c r="B19" s="31">
        <v>17</v>
      </c>
      <c r="C19" s="44" t="s">
        <v>23</v>
      </c>
      <c r="D19" s="44" t="s">
        <v>10</v>
      </c>
      <c r="E19" s="32">
        <v>818</v>
      </c>
      <c r="K19" s="1"/>
    </row>
    <row r="20" spans="2:16" ht="15.75" x14ac:dyDescent="0.25">
      <c r="B20" s="31">
        <v>18</v>
      </c>
      <c r="C20" s="44" t="s">
        <v>23</v>
      </c>
      <c r="D20" s="44" t="s">
        <v>9</v>
      </c>
      <c r="E20" s="32">
        <v>973</v>
      </c>
      <c r="G20" s="28" t="s">
        <v>41</v>
      </c>
      <c r="H20" s="3"/>
      <c r="I20" s="3"/>
      <c r="J20" s="3"/>
      <c r="K20" s="3"/>
      <c r="L20" s="3"/>
      <c r="M20" s="3"/>
      <c r="N20" s="3"/>
      <c r="O20" s="3"/>
      <c r="P20" s="4"/>
    </row>
    <row r="21" spans="2:16" ht="15.75" thickBot="1" x14ac:dyDescent="0.3">
      <c r="B21" s="31">
        <v>19</v>
      </c>
      <c r="C21" s="44" t="s">
        <v>27</v>
      </c>
      <c r="D21" s="44" t="s">
        <v>9</v>
      </c>
      <c r="E21" s="32">
        <v>599</v>
      </c>
      <c r="G21" s="5"/>
      <c r="H21" s="6"/>
      <c r="I21" s="6"/>
      <c r="J21" s="6"/>
      <c r="K21" s="6"/>
      <c r="L21" s="6"/>
      <c r="M21" s="6"/>
      <c r="N21" s="6"/>
      <c r="O21" s="6"/>
      <c r="P21" s="7"/>
    </row>
    <row r="22" spans="2:16" ht="15.75" thickBot="1" x14ac:dyDescent="0.3">
      <c r="B22" s="31">
        <v>20</v>
      </c>
      <c r="C22" s="44" t="s">
        <v>24</v>
      </c>
      <c r="D22" s="44" t="s">
        <v>10</v>
      </c>
      <c r="E22" s="32">
        <v>897</v>
      </c>
      <c r="G22" s="5"/>
      <c r="H22" s="6"/>
      <c r="I22" s="40" t="s">
        <v>22</v>
      </c>
      <c r="J22" s="39" t="s">
        <v>6</v>
      </c>
      <c r="K22" s="6"/>
      <c r="L22" s="58" t="s">
        <v>34</v>
      </c>
      <c r="M22" s="6"/>
      <c r="N22" s="6"/>
      <c r="O22" s="6"/>
      <c r="P22" s="7"/>
    </row>
    <row r="23" spans="2:16" x14ac:dyDescent="0.25">
      <c r="B23" s="31">
        <v>21</v>
      </c>
      <c r="C23" s="44" t="s">
        <v>26</v>
      </c>
      <c r="D23" s="44" t="s">
        <v>6</v>
      </c>
      <c r="E23" s="32">
        <v>1131</v>
      </c>
      <c r="G23" s="5"/>
      <c r="H23" s="6"/>
      <c r="I23" s="6"/>
      <c r="J23" s="6"/>
      <c r="K23" s="6"/>
      <c r="L23" s="102">
        <f>SUMIF(D3:D502, J22, E3:E502)</f>
        <v>54218</v>
      </c>
      <c r="M23" s="103"/>
      <c r="N23" s="103"/>
      <c r="O23" s="104"/>
      <c r="P23" s="7"/>
    </row>
    <row r="24" spans="2:16" x14ac:dyDescent="0.25">
      <c r="B24" s="31">
        <v>22</v>
      </c>
      <c r="C24" s="44" t="s">
        <v>27</v>
      </c>
      <c r="D24" s="44" t="s">
        <v>3</v>
      </c>
      <c r="E24" s="32">
        <v>644</v>
      </c>
      <c r="G24" s="5"/>
      <c r="H24" s="6"/>
      <c r="I24" s="6"/>
      <c r="J24" s="6"/>
      <c r="K24" s="6"/>
      <c r="L24" s="105"/>
      <c r="M24" s="106"/>
      <c r="N24" s="106"/>
      <c r="O24" s="107"/>
      <c r="P24" s="7"/>
    </row>
    <row r="25" spans="2:16" x14ac:dyDescent="0.25">
      <c r="B25" s="31">
        <v>23</v>
      </c>
      <c r="C25" s="44" t="s">
        <v>23</v>
      </c>
      <c r="D25" s="44" t="s">
        <v>6</v>
      </c>
      <c r="E25" s="32">
        <v>709</v>
      </c>
      <c r="G25" s="5"/>
      <c r="H25" s="6"/>
      <c r="I25" s="6"/>
      <c r="J25" s="6"/>
      <c r="K25" s="6"/>
      <c r="L25" s="108"/>
      <c r="M25" s="109"/>
      <c r="N25" s="109"/>
      <c r="O25" s="110"/>
      <c r="P25" s="7"/>
    </row>
    <row r="26" spans="2:16" x14ac:dyDescent="0.25">
      <c r="B26" s="31">
        <v>24</v>
      </c>
      <c r="C26" s="44" t="s">
        <v>25</v>
      </c>
      <c r="D26" s="44" t="s">
        <v>10</v>
      </c>
      <c r="E26" s="32">
        <v>469</v>
      </c>
      <c r="G26" s="5"/>
      <c r="H26" s="6"/>
      <c r="I26" s="6"/>
      <c r="J26" s="6"/>
      <c r="K26" s="6"/>
      <c r="L26" s="6"/>
      <c r="M26" s="6"/>
      <c r="N26" s="6"/>
      <c r="O26" s="6"/>
      <c r="P26" s="7"/>
    </row>
    <row r="27" spans="2:16" x14ac:dyDescent="0.25">
      <c r="B27" s="31">
        <v>25</v>
      </c>
      <c r="C27" s="44" t="s">
        <v>26</v>
      </c>
      <c r="D27" s="44" t="s">
        <v>6</v>
      </c>
      <c r="E27" s="32">
        <v>627</v>
      </c>
      <c r="G27" s="8"/>
      <c r="H27" s="9"/>
      <c r="I27" s="9"/>
      <c r="J27" s="9"/>
      <c r="K27" s="9"/>
      <c r="L27" s="9"/>
      <c r="M27" s="9"/>
      <c r="N27" s="9"/>
      <c r="O27" s="9"/>
      <c r="P27" s="10"/>
    </row>
    <row r="28" spans="2:16" x14ac:dyDescent="0.25">
      <c r="B28" s="31">
        <v>26</v>
      </c>
      <c r="C28" s="44" t="s">
        <v>25</v>
      </c>
      <c r="D28" s="44" t="s">
        <v>7</v>
      </c>
      <c r="E28" s="32">
        <v>644</v>
      </c>
    </row>
    <row r="29" spans="2:16" ht="15.75" x14ac:dyDescent="0.25">
      <c r="B29" s="31">
        <v>27</v>
      </c>
      <c r="C29" s="44" t="s">
        <v>25</v>
      </c>
      <c r="D29" s="44" t="s">
        <v>4</v>
      </c>
      <c r="E29" s="32">
        <v>712</v>
      </c>
      <c r="G29" s="28" t="s">
        <v>42</v>
      </c>
      <c r="H29" s="3"/>
      <c r="I29" s="3"/>
      <c r="J29" s="3"/>
      <c r="K29" s="3"/>
      <c r="L29" s="3"/>
      <c r="M29" s="3"/>
      <c r="N29" s="3"/>
      <c r="O29" s="3"/>
      <c r="P29" s="4"/>
    </row>
    <row r="30" spans="2:16" ht="15.75" thickBot="1" x14ac:dyDescent="0.3">
      <c r="B30" s="31">
        <v>28</v>
      </c>
      <c r="C30" s="44" t="s">
        <v>25</v>
      </c>
      <c r="D30" s="44" t="s">
        <v>2</v>
      </c>
      <c r="E30" s="32">
        <v>702</v>
      </c>
      <c r="G30" s="5"/>
      <c r="H30" s="6"/>
      <c r="I30" s="6"/>
      <c r="J30" s="6"/>
      <c r="K30" s="6"/>
      <c r="L30" s="6"/>
      <c r="M30" s="6"/>
      <c r="N30" s="6"/>
      <c r="O30" s="6"/>
      <c r="P30" s="7"/>
    </row>
    <row r="31" spans="2:16" ht="15.75" thickBot="1" x14ac:dyDescent="0.3">
      <c r="B31" s="31">
        <v>29</v>
      </c>
      <c r="C31" s="44" t="s">
        <v>24</v>
      </c>
      <c r="D31" s="44" t="s">
        <v>9</v>
      </c>
      <c r="E31" s="32">
        <v>418</v>
      </c>
      <c r="G31" s="5"/>
      <c r="H31" s="6"/>
      <c r="I31" s="40" t="s">
        <v>39</v>
      </c>
      <c r="J31" s="39" t="s">
        <v>23</v>
      </c>
      <c r="K31" s="6"/>
      <c r="L31" s="58" t="s">
        <v>34</v>
      </c>
      <c r="M31" s="6"/>
      <c r="N31" s="6"/>
      <c r="O31" s="6"/>
      <c r="P31" s="7"/>
    </row>
    <row r="32" spans="2:16" ht="15.75" thickBot="1" x14ac:dyDescent="0.3">
      <c r="B32" s="31">
        <v>30</v>
      </c>
      <c r="C32" s="44" t="s">
        <v>26</v>
      </c>
      <c r="D32" s="44" t="s">
        <v>6</v>
      </c>
      <c r="E32" s="32">
        <v>408</v>
      </c>
      <c r="G32" s="5"/>
      <c r="H32" s="6"/>
      <c r="I32" s="40"/>
      <c r="J32" s="6"/>
      <c r="K32" s="6"/>
      <c r="L32" s="102">
        <f>SUMIFS(E3:E502, C3:C502, J31, D3:D502, J33)</f>
        <v>12130</v>
      </c>
      <c r="M32" s="103"/>
      <c r="N32" s="103"/>
      <c r="O32" s="104"/>
      <c r="P32" s="7"/>
    </row>
    <row r="33" spans="2:16" x14ac:dyDescent="0.25">
      <c r="B33" s="31">
        <v>31</v>
      </c>
      <c r="C33" s="44" t="s">
        <v>27</v>
      </c>
      <c r="D33" s="44" t="s">
        <v>2</v>
      </c>
      <c r="E33" s="32">
        <v>825</v>
      </c>
      <c r="G33" s="5"/>
      <c r="H33" s="6"/>
      <c r="I33" s="40" t="s">
        <v>22</v>
      </c>
      <c r="J33" s="39" t="s">
        <v>6</v>
      </c>
      <c r="K33" s="6"/>
      <c r="L33" s="105"/>
      <c r="M33" s="106"/>
      <c r="N33" s="106"/>
      <c r="O33" s="107"/>
      <c r="P33" s="7"/>
    </row>
    <row r="34" spans="2:16" x14ac:dyDescent="0.25">
      <c r="B34" s="31">
        <v>32</v>
      </c>
      <c r="C34" s="44" t="s">
        <v>24</v>
      </c>
      <c r="D34" s="44" t="s">
        <v>6</v>
      </c>
      <c r="E34" s="32">
        <v>1030</v>
      </c>
      <c r="G34" s="5"/>
      <c r="K34" s="6"/>
      <c r="L34" s="108"/>
      <c r="M34" s="109"/>
      <c r="N34" s="109"/>
      <c r="O34" s="110"/>
      <c r="P34" s="7"/>
    </row>
    <row r="35" spans="2:16" x14ac:dyDescent="0.25">
      <c r="B35" s="31">
        <v>33</v>
      </c>
      <c r="C35" s="44" t="s">
        <v>27</v>
      </c>
      <c r="D35" s="44" t="s">
        <v>7</v>
      </c>
      <c r="E35" s="32">
        <v>1031</v>
      </c>
      <c r="G35" s="5"/>
      <c r="H35" s="6"/>
      <c r="I35" s="6"/>
      <c r="J35" s="6"/>
      <c r="K35" s="6"/>
      <c r="L35" s="6"/>
      <c r="M35" s="6"/>
      <c r="N35" s="6"/>
      <c r="O35" s="6"/>
      <c r="P35" s="7"/>
    </row>
    <row r="36" spans="2:16" x14ac:dyDescent="0.25">
      <c r="B36" s="31">
        <v>34</v>
      </c>
      <c r="C36" s="44" t="s">
        <v>26</v>
      </c>
      <c r="D36" s="44" t="s">
        <v>6</v>
      </c>
      <c r="E36" s="32">
        <v>962</v>
      </c>
      <c r="G36" s="8"/>
      <c r="H36" s="9"/>
      <c r="I36" s="9"/>
      <c r="J36" s="9"/>
      <c r="K36" s="9"/>
      <c r="L36" s="9"/>
      <c r="M36" s="9"/>
      <c r="N36" s="9"/>
      <c r="O36" s="9"/>
      <c r="P36" s="10"/>
    </row>
    <row r="37" spans="2:16" x14ac:dyDescent="0.25">
      <c r="B37" s="31">
        <v>35</v>
      </c>
      <c r="C37" s="44" t="s">
        <v>23</v>
      </c>
      <c r="D37" s="44" t="s">
        <v>9</v>
      </c>
      <c r="E37" s="32">
        <v>324</v>
      </c>
    </row>
    <row r="38" spans="2:16" x14ac:dyDescent="0.25">
      <c r="B38" s="31">
        <v>36</v>
      </c>
      <c r="C38" s="44" t="s">
        <v>26</v>
      </c>
      <c r="D38" s="44" t="s">
        <v>9</v>
      </c>
      <c r="E38" s="32">
        <v>353</v>
      </c>
    </row>
    <row r="39" spans="2:16" x14ac:dyDescent="0.25">
      <c r="B39" s="31">
        <v>37</v>
      </c>
      <c r="C39" s="44" t="s">
        <v>27</v>
      </c>
      <c r="D39" s="44" t="s">
        <v>3</v>
      </c>
      <c r="E39" s="32">
        <v>845</v>
      </c>
    </row>
    <row r="40" spans="2:16" x14ac:dyDescent="0.25">
      <c r="B40" s="31">
        <v>38</v>
      </c>
      <c r="C40" s="44" t="s">
        <v>24</v>
      </c>
      <c r="D40" s="44" t="s">
        <v>6</v>
      </c>
      <c r="E40" s="32">
        <v>886</v>
      </c>
    </row>
    <row r="41" spans="2:16" x14ac:dyDescent="0.25">
      <c r="B41" s="31">
        <v>39</v>
      </c>
      <c r="C41" s="44" t="s">
        <v>24</v>
      </c>
      <c r="D41" s="44" t="s">
        <v>3</v>
      </c>
      <c r="E41" s="32">
        <v>877</v>
      </c>
    </row>
    <row r="42" spans="2:16" x14ac:dyDescent="0.25">
      <c r="B42" s="31">
        <v>40</v>
      </c>
      <c r="C42" s="44" t="s">
        <v>26</v>
      </c>
      <c r="D42" s="44" t="s">
        <v>4</v>
      </c>
      <c r="E42" s="32">
        <v>330</v>
      </c>
    </row>
    <row r="43" spans="2:16" x14ac:dyDescent="0.25">
      <c r="B43" s="31">
        <v>41</v>
      </c>
      <c r="C43" s="44" t="s">
        <v>23</v>
      </c>
      <c r="D43" s="44" t="s">
        <v>6</v>
      </c>
      <c r="E43" s="32">
        <v>848</v>
      </c>
    </row>
    <row r="44" spans="2:16" x14ac:dyDescent="0.25">
      <c r="B44" s="31">
        <v>42</v>
      </c>
      <c r="C44" s="44" t="s">
        <v>27</v>
      </c>
      <c r="D44" s="44" t="s">
        <v>7</v>
      </c>
      <c r="E44" s="32">
        <v>611</v>
      </c>
    </row>
    <row r="45" spans="2:16" x14ac:dyDescent="0.25">
      <c r="B45" s="31">
        <v>43</v>
      </c>
      <c r="C45" s="44" t="s">
        <v>27</v>
      </c>
      <c r="D45" s="44" t="s">
        <v>3</v>
      </c>
      <c r="E45" s="32">
        <v>883</v>
      </c>
    </row>
    <row r="46" spans="2:16" x14ac:dyDescent="0.25">
      <c r="B46" s="31">
        <v>44</v>
      </c>
      <c r="C46" s="44" t="s">
        <v>26</v>
      </c>
      <c r="D46" s="44" t="s">
        <v>10</v>
      </c>
      <c r="E46" s="32">
        <v>696</v>
      </c>
    </row>
    <row r="47" spans="2:16" x14ac:dyDescent="0.25">
      <c r="B47" s="31">
        <v>45</v>
      </c>
      <c r="C47" s="44" t="s">
        <v>27</v>
      </c>
      <c r="D47" s="44" t="s">
        <v>2</v>
      </c>
      <c r="E47" s="32">
        <v>697</v>
      </c>
    </row>
    <row r="48" spans="2:16" x14ac:dyDescent="0.25">
      <c r="B48" s="31">
        <v>46</v>
      </c>
      <c r="C48" s="44" t="s">
        <v>25</v>
      </c>
      <c r="D48" s="44" t="s">
        <v>3</v>
      </c>
      <c r="E48" s="32">
        <v>941</v>
      </c>
    </row>
    <row r="49" spans="2:5" x14ac:dyDescent="0.25">
      <c r="B49" s="31">
        <v>47</v>
      </c>
      <c r="C49" s="44" t="s">
        <v>26</v>
      </c>
      <c r="D49" s="44" t="s">
        <v>3</v>
      </c>
      <c r="E49" s="32">
        <v>754</v>
      </c>
    </row>
    <row r="50" spans="2:5" x14ac:dyDescent="0.25">
      <c r="B50" s="31">
        <v>48</v>
      </c>
      <c r="C50" s="44" t="s">
        <v>25</v>
      </c>
      <c r="D50" s="44" t="s">
        <v>2</v>
      </c>
      <c r="E50" s="32">
        <v>818</v>
      </c>
    </row>
    <row r="51" spans="2:5" x14ac:dyDescent="0.25">
      <c r="B51" s="31">
        <v>49</v>
      </c>
      <c r="C51" s="44" t="s">
        <v>27</v>
      </c>
      <c r="D51" s="44" t="s">
        <v>9</v>
      </c>
      <c r="E51" s="32">
        <v>1158</v>
      </c>
    </row>
    <row r="52" spans="2:5" x14ac:dyDescent="0.25">
      <c r="B52" s="31">
        <v>50</v>
      </c>
      <c r="C52" s="44" t="s">
        <v>26</v>
      </c>
      <c r="D52" s="44" t="s">
        <v>8</v>
      </c>
      <c r="E52" s="32">
        <v>344</v>
      </c>
    </row>
    <row r="53" spans="2:5" x14ac:dyDescent="0.25">
      <c r="B53" s="31">
        <v>51</v>
      </c>
      <c r="C53" s="44" t="s">
        <v>26</v>
      </c>
      <c r="D53" s="44" t="s">
        <v>10</v>
      </c>
      <c r="E53" s="32">
        <v>482</v>
      </c>
    </row>
    <row r="54" spans="2:5" x14ac:dyDescent="0.25">
      <c r="B54" s="31">
        <v>52</v>
      </c>
      <c r="C54" s="44" t="s">
        <v>23</v>
      </c>
      <c r="D54" s="44" t="s">
        <v>4</v>
      </c>
      <c r="E54" s="32">
        <v>644</v>
      </c>
    </row>
    <row r="55" spans="2:5" x14ac:dyDescent="0.25">
      <c r="B55" s="31">
        <v>53</v>
      </c>
      <c r="C55" s="44" t="s">
        <v>23</v>
      </c>
      <c r="D55" s="44" t="s">
        <v>3</v>
      </c>
      <c r="E55" s="32">
        <v>942</v>
      </c>
    </row>
    <row r="56" spans="2:5" x14ac:dyDescent="0.25">
      <c r="B56" s="31">
        <v>54</v>
      </c>
      <c r="C56" s="44" t="s">
        <v>27</v>
      </c>
      <c r="D56" s="44" t="s">
        <v>7</v>
      </c>
      <c r="E56" s="32">
        <v>683</v>
      </c>
    </row>
    <row r="57" spans="2:5" x14ac:dyDescent="0.25">
      <c r="B57" s="31">
        <v>55</v>
      </c>
      <c r="C57" s="44" t="s">
        <v>24</v>
      </c>
      <c r="D57" s="44" t="s">
        <v>3</v>
      </c>
      <c r="E57" s="32">
        <v>857</v>
      </c>
    </row>
    <row r="58" spans="2:5" x14ac:dyDescent="0.25">
      <c r="B58" s="31">
        <v>56</v>
      </c>
      <c r="C58" s="44" t="s">
        <v>24</v>
      </c>
      <c r="D58" s="44" t="s">
        <v>6</v>
      </c>
      <c r="E58" s="32">
        <v>718</v>
      </c>
    </row>
    <row r="59" spans="2:5" x14ac:dyDescent="0.25">
      <c r="B59" s="31">
        <v>57</v>
      </c>
      <c r="C59" s="44" t="s">
        <v>25</v>
      </c>
      <c r="D59" s="44" t="s">
        <v>10</v>
      </c>
      <c r="E59" s="32">
        <v>1180</v>
      </c>
    </row>
    <row r="60" spans="2:5" x14ac:dyDescent="0.25">
      <c r="B60" s="31">
        <v>58</v>
      </c>
      <c r="C60" s="44" t="s">
        <v>23</v>
      </c>
      <c r="D60" s="44" t="s">
        <v>10</v>
      </c>
      <c r="E60" s="32">
        <v>582</v>
      </c>
    </row>
    <row r="61" spans="2:5" x14ac:dyDescent="0.25">
      <c r="B61" s="31">
        <v>59</v>
      </c>
      <c r="C61" s="44" t="s">
        <v>27</v>
      </c>
      <c r="D61" s="44" t="s">
        <v>9</v>
      </c>
      <c r="E61" s="32">
        <v>737</v>
      </c>
    </row>
    <row r="62" spans="2:5" x14ac:dyDescent="0.25">
      <c r="B62" s="31">
        <v>60</v>
      </c>
      <c r="C62" s="44" t="s">
        <v>25</v>
      </c>
      <c r="D62" s="44" t="s">
        <v>10</v>
      </c>
      <c r="E62" s="32">
        <v>1022</v>
      </c>
    </row>
    <row r="63" spans="2:5" x14ac:dyDescent="0.25">
      <c r="B63" s="31">
        <v>61</v>
      </c>
      <c r="C63" s="44" t="s">
        <v>26</v>
      </c>
      <c r="D63" s="44" t="s">
        <v>2</v>
      </c>
      <c r="E63" s="32">
        <v>1051</v>
      </c>
    </row>
    <row r="64" spans="2:5" x14ac:dyDescent="0.25">
      <c r="B64" s="31">
        <v>62</v>
      </c>
      <c r="C64" s="44" t="s">
        <v>26</v>
      </c>
      <c r="D64" s="44" t="s">
        <v>10</v>
      </c>
      <c r="E64" s="32">
        <v>1202</v>
      </c>
    </row>
    <row r="65" spans="2:5" x14ac:dyDescent="0.25">
      <c r="B65" s="31">
        <v>63</v>
      </c>
      <c r="C65" s="44" t="s">
        <v>24</v>
      </c>
      <c r="D65" s="44" t="s">
        <v>2</v>
      </c>
      <c r="E65" s="32">
        <v>979</v>
      </c>
    </row>
    <row r="66" spans="2:5" x14ac:dyDescent="0.25">
      <c r="B66" s="31">
        <v>64</v>
      </c>
      <c r="C66" s="44" t="s">
        <v>25</v>
      </c>
      <c r="D66" s="44" t="s">
        <v>7</v>
      </c>
      <c r="E66" s="32">
        <v>650</v>
      </c>
    </row>
    <row r="67" spans="2:5" x14ac:dyDescent="0.25">
      <c r="B67" s="31">
        <v>65</v>
      </c>
      <c r="C67" s="44" t="s">
        <v>23</v>
      </c>
      <c r="D67" s="44" t="s">
        <v>6</v>
      </c>
      <c r="E67" s="32">
        <v>592</v>
      </c>
    </row>
    <row r="68" spans="2:5" x14ac:dyDescent="0.25">
      <c r="B68" s="31">
        <v>66</v>
      </c>
      <c r="C68" s="44" t="s">
        <v>23</v>
      </c>
      <c r="D68" s="44" t="s">
        <v>4</v>
      </c>
      <c r="E68" s="32">
        <v>784</v>
      </c>
    </row>
    <row r="69" spans="2:5" x14ac:dyDescent="0.25">
      <c r="B69" s="31">
        <v>67</v>
      </c>
      <c r="C69" s="44" t="s">
        <v>27</v>
      </c>
      <c r="D69" s="44" t="s">
        <v>7</v>
      </c>
      <c r="E69" s="32">
        <v>767</v>
      </c>
    </row>
    <row r="70" spans="2:5" x14ac:dyDescent="0.25">
      <c r="B70" s="31">
        <v>68</v>
      </c>
      <c r="C70" s="44" t="s">
        <v>26</v>
      </c>
      <c r="D70" s="44" t="s">
        <v>2</v>
      </c>
      <c r="E70" s="32">
        <v>1137</v>
      </c>
    </row>
    <row r="71" spans="2:5" x14ac:dyDescent="0.25">
      <c r="B71" s="31">
        <v>69</v>
      </c>
      <c r="C71" s="44" t="s">
        <v>25</v>
      </c>
      <c r="D71" s="44" t="s">
        <v>6</v>
      </c>
      <c r="E71" s="32">
        <v>710</v>
      </c>
    </row>
    <row r="72" spans="2:5" x14ac:dyDescent="0.25">
      <c r="B72" s="31">
        <v>70</v>
      </c>
      <c r="C72" s="44" t="s">
        <v>27</v>
      </c>
      <c r="D72" s="44" t="s">
        <v>7</v>
      </c>
      <c r="E72" s="32">
        <v>361</v>
      </c>
    </row>
    <row r="73" spans="2:5" x14ac:dyDescent="0.25">
      <c r="B73" s="31">
        <v>71</v>
      </c>
      <c r="C73" s="44" t="s">
        <v>27</v>
      </c>
      <c r="D73" s="44" t="s">
        <v>6</v>
      </c>
      <c r="E73" s="32">
        <v>1134</v>
      </c>
    </row>
    <row r="74" spans="2:5" x14ac:dyDescent="0.25">
      <c r="B74" s="31">
        <v>72</v>
      </c>
      <c r="C74" s="44" t="s">
        <v>27</v>
      </c>
      <c r="D74" s="44" t="s">
        <v>6</v>
      </c>
      <c r="E74" s="32">
        <v>611</v>
      </c>
    </row>
    <row r="75" spans="2:5" x14ac:dyDescent="0.25">
      <c r="B75" s="31">
        <v>73</v>
      </c>
      <c r="C75" s="44" t="s">
        <v>25</v>
      </c>
      <c r="D75" s="44" t="s">
        <v>3</v>
      </c>
      <c r="E75" s="32">
        <v>1141</v>
      </c>
    </row>
    <row r="76" spans="2:5" x14ac:dyDescent="0.25">
      <c r="B76" s="31">
        <v>74</v>
      </c>
      <c r="C76" s="44" t="s">
        <v>23</v>
      </c>
      <c r="D76" s="44" t="s">
        <v>10</v>
      </c>
      <c r="E76" s="32">
        <v>933</v>
      </c>
    </row>
    <row r="77" spans="2:5" x14ac:dyDescent="0.25">
      <c r="B77" s="31">
        <v>75</v>
      </c>
      <c r="C77" s="44" t="s">
        <v>23</v>
      </c>
      <c r="D77" s="44" t="s">
        <v>6</v>
      </c>
      <c r="E77" s="32">
        <v>1178</v>
      </c>
    </row>
    <row r="78" spans="2:5" x14ac:dyDescent="0.25">
      <c r="B78" s="31">
        <v>76</v>
      </c>
      <c r="C78" s="44" t="s">
        <v>23</v>
      </c>
      <c r="D78" s="44" t="s">
        <v>8</v>
      </c>
      <c r="E78" s="32">
        <v>571</v>
      </c>
    </row>
    <row r="79" spans="2:5" x14ac:dyDescent="0.25">
      <c r="B79" s="31">
        <v>77</v>
      </c>
      <c r="C79" s="44" t="s">
        <v>27</v>
      </c>
      <c r="D79" s="44" t="s">
        <v>8</v>
      </c>
      <c r="E79" s="32">
        <v>613</v>
      </c>
    </row>
    <row r="80" spans="2:5" x14ac:dyDescent="0.25">
      <c r="B80" s="31">
        <v>78</v>
      </c>
      <c r="C80" s="44" t="s">
        <v>24</v>
      </c>
      <c r="D80" s="44" t="s">
        <v>4</v>
      </c>
      <c r="E80" s="32">
        <v>1196</v>
      </c>
    </row>
    <row r="81" spans="2:5" x14ac:dyDescent="0.25">
      <c r="B81" s="31">
        <v>79</v>
      </c>
      <c r="C81" s="44" t="s">
        <v>25</v>
      </c>
      <c r="D81" s="44" t="s">
        <v>4</v>
      </c>
      <c r="E81" s="32">
        <v>551</v>
      </c>
    </row>
    <row r="82" spans="2:5" x14ac:dyDescent="0.25">
      <c r="B82" s="31">
        <v>80</v>
      </c>
      <c r="C82" s="44" t="s">
        <v>27</v>
      </c>
      <c r="D82" s="44" t="s">
        <v>7</v>
      </c>
      <c r="E82" s="32">
        <v>873</v>
      </c>
    </row>
    <row r="83" spans="2:5" x14ac:dyDescent="0.25">
      <c r="B83" s="31">
        <v>81</v>
      </c>
      <c r="C83" s="44" t="s">
        <v>24</v>
      </c>
      <c r="D83" s="44" t="s">
        <v>4</v>
      </c>
      <c r="E83" s="32">
        <v>855</v>
      </c>
    </row>
    <row r="84" spans="2:5" x14ac:dyDescent="0.25">
      <c r="B84" s="31">
        <v>82</v>
      </c>
      <c r="C84" s="44" t="s">
        <v>24</v>
      </c>
      <c r="D84" s="44" t="s">
        <v>10</v>
      </c>
      <c r="E84" s="32">
        <v>1115</v>
      </c>
    </row>
    <row r="85" spans="2:5" x14ac:dyDescent="0.25">
      <c r="B85" s="31">
        <v>83</v>
      </c>
      <c r="C85" s="44" t="s">
        <v>26</v>
      </c>
      <c r="D85" s="44" t="s">
        <v>4</v>
      </c>
      <c r="E85" s="32">
        <v>1174</v>
      </c>
    </row>
    <row r="86" spans="2:5" x14ac:dyDescent="0.25">
      <c r="B86" s="31">
        <v>84</v>
      </c>
      <c r="C86" s="44" t="s">
        <v>25</v>
      </c>
      <c r="D86" s="44" t="s">
        <v>6</v>
      </c>
      <c r="E86" s="32">
        <v>969</v>
      </c>
    </row>
    <row r="87" spans="2:5" x14ac:dyDescent="0.25">
      <c r="B87" s="31">
        <v>85</v>
      </c>
      <c r="C87" s="44" t="s">
        <v>24</v>
      </c>
      <c r="D87" s="44" t="s">
        <v>4</v>
      </c>
      <c r="E87" s="32">
        <v>328</v>
      </c>
    </row>
    <row r="88" spans="2:5" x14ac:dyDescent="0.25">
      <c r="B88" s="31">
        <v>86</v>
      </c>
      <c r="C88" s="44" t="s">
        <v>23</v>
      </c>
      <c r="D88" s="44" t="s">
        <v>3</v>
      </c>
      <c r="E88" s="32">
        <v>1038</v>
      </c>
    </row>
    <row r="89" spans="2:5" x14ac:dyDescent="0.25">
      <c r="B89" s="31">
        <v>87</v>
      </c>
      <c r="C89" s="44" t="s">
        <v>26</v>
      </c>
      <c r="D89" s="44" t="s">
        <v>6</v>
      </c>
      <c r="E89" s="32">
        <v>1108</v>
      </c>
    </row>
    <row r="90" spans="2:5" x14ac:dyDescent="0.25">
      <c r="B90" s="31">
        <v>88</v>
      </c>
      <c r="C90" s="44" t="s">
        <v>24</v>
      </c>
      <c r="D90" s="44" t="s">
        <v>9</v>
      </c>
      <c r="E90" s="32">
        <v>1120</v>
      </c>
    </row>
    <row r="91" spans="2:5" x14ac:dyDescent="0.25">
      <c r="B91" s="31">
        <v>89</v>
      </c>
      <c r="C91" s="44" t="s">
        <v>23</v>
      </c>
      <c r="D91" s="44" t="s">
        <v>3</v>
      </c>
      <c r="E91" s="32">
        <v>806</v>
      </c>
    </row>
    <row r="92" spans="2:5" x14ac:dyDescent="0.25">
      <c r="B92" s="31">
        <v>90</v>
      </c>
      <c r="C92" s="44" t="s">
        <v>23</v>
      </c>
      <c r="D92" s="44" t="s">
        <v>6</v>
      </c>
      <c r="E92" s="32">
        <v>326</v>
      </c>
    </row>
    <row r="93" spans="2:5" x14ac:dyDescent="0.25">
      <c r="B93" s="31">
        <v>91</v>
      </c>
      <c r="C93" s="44" t="s">
        <v>24</v>
      </c>
      <c r="D93" s="44" t="s">
        <v>9</v>
      </c>
      <c r="E93" s="32">
        <v>1060</v>
      </c>
    </row>
    <row r="94" spans="2:5" x14ac:dyDescent="0.25">
      <c r="B94" s="31">
        <v>92</v>
      </c>
      <c r="C94" s="44" t="s">
        <v>24</v>
      </c>
      <c r="D94" s="44" t="s">
        <v>3</v>
      </c>
      <c r="E94" s="32">
        <v>465</v>
      </c>
    </row>
    <row r="95" spans="2:5" x14ac:dyDescent="0.25">
      <c r="B95" s="31">
        <v>93</v>
      </c>
      <c r="C95" s="44" t="s">
        <v>26</v>
      </c>
      <c r="D95" s="44" t="s">
        <v>4</v>
      </c>
      <c r="E95" s="32">
        <v>727</v>
      </c>
    </row>
    <row r="96" spans="2:5" x14ac:dyDescent="0.25">
      <c r="B96" s="31">
        <v>94</v>
      </c>
      <c r="C96" s="44" t="s">
        <v>27</v>
      </c>
      <c r="D96" s="44" t="s">
        <v>10</v>
      </c>
      <c r="E96" s="32">
        <v>793</v>
      </c>
    </row>
    <row r="97" spans="2:5" x14ac:dyDescent="0.25">
      <c r="B97" s="31">
        <v>95</v>
      </c>
      <c r="C97" s="44" t="s">
        <v>23</v>
      </c>
      <c r="D97" s="44" t="s">
        <v>6</v>
      </c>
      <c r="E97" s="32">
        <v>556</v>
      </c>
    </row>
    <row r="98" spans="2:5" x14ac:dyDescent="0.25">
      <c r="B98" s="31">
        <v>96</v>
      </c>
      <c r="C98" s="44" t="s">
        <v>27</v>
      </c>
      <c r="D98" s="44" t="s">
        <v>2</v>
      </c>
      <c r="E98" s="32">
        <v>553</v>
      </c>
    </row>
    <row r="99" spans="2:5" x14ac:dyDescent="0.25">
      <c r="B99" s="31">
        <v>97</v>
      </c>
      <c r="C99" s="44" t="s">
        <v>27</v>
      </c>
      <c r="D99" s="44" t="s">
        <v>8</v>
      </c>
      <c r="E99" s="32">
        <v>1178</v>
      </c>
    </row>
    <row r="100" spans="2:5" x14ac:dyDescent="0.25">
      <c r="B100" s="31">
        <v>98</v>
      </c>
      <c r="C100" s="44" t="s">
        <v>25</v>
      </c>
      <c r="D100" s="44" t="s">
        <v>8</v>
      </c>
      <c r="E100" s="32">
        <v>1164</v>
      </c>
    </row>
    <row r="101" spans="2:5" x14ac:dyDescent="0.25">
      <c r="B101" s="31">
        <v>99</v>
      </c>
      <c r="C101" s="44" t="s">
        <v>23</v>
      </c>
      <c r="D101" s="44" t="s">
        <v>9</v>
      </c>
      <c r="E101" s="32">
        <v>951</v>
      </c>
    </row>
    <row r="102" spans="2:5" x14ac:dyDescent="0.25">
      <c r="B102" s="31">
        <v>100</v>
      </c>
      <c r="C102" s="44" t="s">
        <v>26</v>
      </c>
      <c r="D102" s="44" t="s">
        <v>6</v>
      </c>
      <c r="E102" s="32">
        <v>707</v>
      </c>
    </row>
    <row r="103" spans="2:5" x14ac:dyDescent="0.25">
      <c r="B103" s="31">
        <v>101</v>
      </c>
      <c r="C103" s="44" t="s">
        <v>25</v>
      </c>
      <c r="D103" s="44" t="s">
        <v>3</v>
      </c>
      <c r="E103" s="32">
        <v>383</v>
      </c>
    </row>
    <row r="104" spans="2:5" x14ac:dyDescent="0.25">
      <c r="B104" s="31">
        <v>102</v>
      </c>
      <c r="C104" s="44" t="s">
        <v>24</v>
      </c>
      <c r="D104" s="44" t="s">
        <v>7</v>
      </c>
      <c r="E104" s="32">
        <v>797</v>
      </c>
    </row>
    <row r="105" spans="2:5" x14ac:dyDescent="0.25">
      <c r="B105" s="31">
        <v>103</v>
      </c>
      <c r="C105" s="44" t="s">
        <v>25</v>
      </c>
      <c r="D105" s="44" t="s">
        <v>7</v>
      </c>
      <c r="E105" s="32">
        <v>659</v>
      </c>
    </row>
    <row r="106" spans="2:5" x14ac:dyDescent="0.25">
      <c r="B106" s="31">
        <v>104</v>
      </c>
      <c r="C106" s="44" t="s">
        <v>26</v>
      </c>
      <c r="D106" s="44" t="s">
        <v>8</v>
      </c>
      <c r="E106" s="32">
        <v>981</v>
      </c>
    </row>
    <row r="107" spans="2:5" x14ac:dyDescent="0.25">
      <c r="B107" s="31">
        <v>105</v>
      </c>
      <c r="C107" s="44" t="s">
        <v>24</v>
      </c>
      <c r="D107" s="44" t="s">
        <v>10</v>
      </c>
      <c r="E107" s="32">
        <v>456</v>
      </c>
    </row>
    <row r="108" spans="2:5" x14ac:dyDescent="0.25">
      <c r="B108" s="31">
        <v>106</v>
      </c>
      <c r="C108" s="44" t="s">
        <v>26</v>
      </c>
      <c r="D108" s="44" t="s">
        <v>10</v>
      </c>
      <c r="E108" s="32">
        <v>662</v>
      </c>
    </row>
    <row r="109" spans="2:5" x14ac:dyDescent="0.25">
      <c r="B109" s="31">
        <v>107</v>
      </c>
      <c r="C109" s="44" t="s">
        <v>25</v>
      </c>
      <c r="D109" s="44" t="s">
        <v>4</v>
      </c>
      <c r="E109" s="32">
        <v>362</v>
      </c>
    </row>
    <row r="110" spans="2:5" x14ac:dyDescent="0.25">
      <c r="B110" s="31">
        <v>108</v>
      </c>
      <c r="C110" s="44" t="s">
        <v>25</v>
      </c>
      <c r="D110" s="44" t="s">
        <v>6</v>
      </c>
      <c r="E110" s="32">
        <v>830</v>
      </c>
    </row>
    <row r="111" spans="2:5" x14ac:dyDescent="0.25">
      <c r="B111" s="31">
        <v>109</v>
      </c>
      <c r="C111" s="44" t="s">
        <v>23</v>
      </c>
      <c r="D111" s="44" t="s">
        <v>6</v>
      </c>
      <c r="E111" s="32">
        <v>706</v>
      </c>
    </row>
    <row r="112" spans="2:5" x14ac:dyDescent="0.25">
      <c r="B112" s="31">
        <v>110</v>
      </c>
      <c r="C112" s="44" t="s">
        <v>23</v>
      </c>
      <c r="D112" s="44" t="s">
        <v>7</v>
      </c>
      <c r="E112" s="32">
        <v>428</v>
      </c>
    </row>
    <row r="113" spans="2:5" x14ac:dyDescent="0.25">
      <c r="B113" s="31">
        <v>111</v>
      </c>
      <c r="C113" s="44" t="s">
        <v>25</v>
      </c>
      <c r="D113" s="44" t="s">
        <v>10</v>
      </c>
      <c r="E113" s="32">
        <v>553</v>
      </c>
    </row>
    <row r="114" spans="2:5" x14ac:dyDescent="0.25">
      <c r="B114" s="31">
        <v>112</v>
      </c>
      <c r="C114" s="44" t="s">
        <v>26</v>
      </c>
      <c r="D114" s="44" t="s">
        <v>7</v>
      </c>
      <c r="E114" s="32">
        <v>1080</v>
      </c>
    </row>
    <row r="115" spans="2:5" x14ac:dyDescent="0.25">
      <c r="B115" s="31">
        <v>113</v>
      </c>
      <c r="C115" s="44" t="s">
        <v>25</v>
      </c>
      <c r="D115" s="44" t="s">
        <v>3</v>
      </c>
      <c r="E115" s="32">
        <v>1157</v>
      </c>
    </row>
    <row r="116" spans="2:5" x14ac:dyDescent="0.25">
      <c r="B116" s="31">
        <v>114</v>
      </c>
      <c r="C116" s="44" t="s">
        <v>27</v>
      </c>
      <c r="D116" s="44" t="s">
        <v>3</v>
      </c>
      <c r="E116" s="32">
        <v>887</v>
      </c>
    </row>
    <row r="117" spans="2:5" x14ac:dyDescent="0.25">
      <c r="B117" s="31">
        <v>115</v>
      </c>
      <c r="C117" s="44" t="s">
        <v>25</v>
      </c>
      <c r="D117" s="44" t="s">
        <v>8</v>
      </c>
      <c r="E117" s="32">
        <v>932</v>
      </c>
    </row>
    <row r="118" spans="2:5" x14ac:dyDescent="0.25">
      <c r="B118" s="31">
        <v>116</v>
      </c>
      <c r="C118" s="44" t="s">
        <v>27</v>
      </c>
      <c r="D118" s="44" t="s">
        <v>4</v>
      </c>
      <c r="E118" s="32">
        <v>981</v>
      </c>
    </row>
    <row r="119" spans="2:5" x14ac:dyDescent="0.25">
      <c r="B119" s="31">
        <v>117</v>
      </c>
      <c r="C119" s="44" t="s">
        <v>24</v>
      </c>
      <c r="D119" s="44" t="s">
        <v>6</v>
      </c>
      <c r="E119" s="32">
        <v>1012</v>
      </c>
    </row>
    <row r="120" spans="2:5" x14ac:dyDescent="0.25">
      <c r="B120" s="31">
        <v>118</v>
      </c>
      <c r="C120" s="44" t="s">
        <v>26</v>
      </c>
      <c r="D120" s="44" t="s">
        <v>10</v>
      </c>
      <c r="E120" s="32">
        <v>502</v>
      </c>
    </row>
    <row r="121" spans="2:5" x14ac:dyDescent="0.25">
      <c r="B121" s="31">
        <v>119</v>
      </c>
      <c r="C121" s="44" t="s">
        <v>25</v>
      </c>
      <c r="D121" s="44" t="s">
        <v>2</v>
      </c>
      <c r="E121" s="32">
        <v>895</v>
      </c>
    </row>
    <row r="122" spans="2:5" x14ac:dyDescent="0.25">
      <c r="B122" s="31">
        <v>120</v>
      </c>
      <c r="C122" s="44" t="s">
        <v>24</v>
      </c>
      <c r="D122" s="44" t="s">
        <v>8</v>
      </c>
      <c r="E122" s="32">
        <v>1148</v>
      </c>
    </row>
    <row r="123" spans="2:5" x14ac:dyDescent="0.25">
      <c r="B123" s="31">
        <v>121</v>
      </c>
      <c r="C123" s="44" t="s">
        <v>25</v>
      </c>
      <c r="D123" s="44" t="s">
        <v>2</v>
      </c>
      <c r="E123" s="32">
        <v>817</v>
      </c>
    </row>
    <row r="124" spans="2:5" x14ac:dyDescent="0.25">
      <c r="B124" s="31">
        <v>122</v>
      </c>
      <c r="C124" s="44" t="s">
        <v>23</v>
      </c>
      <c r="D124" s="44" t="s">
        <v>4</v>
      </c>
      <c r="E124" s="32">
        <v>689</v>
      </c>
    </row>
    <row r="125" spans="2:5" x14ac:dyDescent="0.25">
      <c r="B125" s="31">
        <v>123</v>
      </c>
      <c r="C125" s="44" t="s">
        <v>24</v>
      </c>
      <c r="D125" s="44" t="s">
        <v>9</v>
      </c>
      <c r="E125" s="32">
        <v>848</v>
      </c>
    </row>
    <row r="126" spans="2:5" x14ac:dyDescent="0.25">
      <c r="B126" s="31">
        <v>124</v>
      </c>
      <c r="C126" s="44" t="s">
        <v>25</v>
      </c>
      <c r="D126" s="44" t="s">
        <v>4</v>
      </c>
      <c r="E126" s="32">
        <v>954</v>
      </c>
    </row>
    <row r="127" spans="2:5" x14ac:dyDescent="0.25">
      <c r="B127" s="31">
        <v>125</v>
      </c>
      <c r="C127" s="44" t="s">
        <v>23</v>
      </c>
      <c r="D127" s="44" t="s">
        <v>6</v>
      </c>
      <c r="E127" s="32">
        <v>731</v>
      </c>
    </row>
    <row r="128" spans="2:5" x14ac:dyDescent="0.25">
      <c r="B128" s="31">
        <v>126</v>
      </c>
      <c r="C128" s="44" t="s">
        <v>25</v>
      </c>
      <c r="D128" s="44" t="s">
        <v>2</v>
      </c>
      <c r="E128" s="32">
        <v>1068</v>
      </c>
    </row>
    <row r="129" spans="2:5" x14ac:dyDescent="0.25">
      <c r="B129" s="31">
        <v>127</v>
      </c>
      <c r="C129" s="44" t="s">
        <v>24</v>
      </c>
      <c r="D129" s="44" t="s">
        <v>2</v>
      </c>
      <c r="E129" s="32">
        <v>531</v>
      </c>
    </row>
    <row r="130" spans="2:5" x14ac:dyDescent="0.25">
      <c r="B130" s="31">
        <v>128</v>
      </c>
      <c r="C130" s="44" t="s">
        <v>25</v>
      </c>
      <c r="D130" s="44" t="s">
        <v>3</v>
      </c>
      <c r="E130" s="32">
        <v>342</v>
      </c>
    </row>
    <row r="131" spans="2:5" x14ac:dyDescent="0.25">
      <c r="B131" s="31">
        <v>129</v>
      </c>
      <c r="C131" s="44" t="s">
        <v>26</v>
      </c>
      <c r="D131" s="44" t="s">
        <v>6</v>
      </c>
      <c r="E131" s="32">
        <v>434</v>
      </c>
    </row>
    <row r="132" spans="2:5" x14ac:dyDescent="0.25">
      <c r="B132" s="31">
        <v>130</v>
      </c>
      <c r="C132" s="44" t="s">
        <v>24</v>
      </c>
      <c r="D132" s="44" t="s">
        <v>6</v>
      </c>
      <c r="E132" s="32">
        <v>394</v>
      </c>
    </row>
    <row r="133" spans="2:5" x14ac:dyDescent="0.25">
      <c r="B133" s="31">
        <v>131</v>
      </c>
      <c r="C133" s="44" t="s">
        <v>25</v>
      </c>
      <c r="D133" s="44" t="s">
        <v>7</v>
      </c>
      <c r="E133" s="32">
        <v>570</v>
      </c>
    </row>
    <row r="134" spans="2:5" x14ac:dyDescent="0.25">
      <c r="B134" s="31">
        <v>132</v>
      </c>
      <c r="C134" s="44" t="s">
        <v>27</v>
      </c>
      <c r="D134" s="44" t="s">
        <v>7</v>
      </c>
      <c r="E134" s="32">
        <v>877</v>
      </c>
    </row>
    <row r="135" spans="2:5" x14ac:dyDescent="0.25">
      <c r="B135" s="31">
        <v>133</v>
      </c>
      <c r="C135" s="44" t="s">
        <v>25</v>
      </c>
      <c r="D135" s="44" t="s">
        <v>3</v>
      </c>
      <c r="E135" s="32">
        <v>1068</v>
      </c>
    </row>
    <row r="136" spans="2:5" x14ac:dyDescent="0.25">
      <c r="B136" s="31">
        <v>134</v>
      </c>
      <c r="C136" s="44" t="s">
        <v>24</v>
      </c>
      <c r="D136" s="44" t="s">
        <v>3</v>
      </c>
      <c r="E136" s="32">
        <v>871</v>
      </c>
    </row>
    <row r="137" spans="2:5" x14ac:dyDescent="0.25">
      <c r="B137" s="31">
        <v>135</v>
      </c>
      <c r="C137" s="44" t="s">
        <v>24</v>
      </c>
      <c r="D137" s="44" t="s">
        <v>6</v>
      </c>
      <c r="E137" s="32">
        <v>885</v>
      </c>
    </row>
    <row r="138" spans="2:5" x14ac:dyDescent="0.25">
      <c r="B138" s="31">
        <v>136</v>
      </c>
      <c r="C138" s="44" t="s">
        <v>25</v>
      </c>
      <c r="D138" s="44" t="s">
        <v>6</v>
      </c>
      <c r="E138" s="32">
        <v>981</v>
      </c>
    </row>
    <row r="139" spans="2:5" x14ac:dyDescent="0.25">
      <c r="B139" s="31">
        <v>137</v>
      </c>
      <c r="C139" s="44" t="s">
        <v>26</v>
      </c>
      <c r="D139" s="44" t="s">
        <v>7</v>
      </c>
      <c r="E139" s="32">
        <v>364</v>
      </c>
    </row>
    <row r="140" spans="2:5" x14ac:dyDescent="0.25">
      <c r="B140" s="31">
        <v>138</v>
      </c>
      <c r="C140" s="44" t="s">
        <v>26</v>
      </c>
      <c r="D140" s="44" t="s">
        <v>4</v>
      </c>
      <c r="E140" s="32">
        <v>1149</v>
      </c>
    </row>
    <row r="141" spans="2:5" x14ac:dyDescent="0.25">
      <c r="B141" s="31">
        <v>139</v>
      </c>
      <c r="C141" s="44" t="s">
        <v>23</v>
      </c>
      <c r="D141" s="44" t="s">
        <v>3</v>
      </c>
      <c r="E141" s="32">
        <v>1075</v>
      </c>
    </row>
    <row r="142" spans="2:5" x14ac:dyDescent="0.25">
      <c r="B142" s="31">
        <v>140</v>
      </c>
      <c r="C142" s="44" t="s">
        <v>26</v>
      </c>
      <c r="D142" s="44" t="s">
        <v>10</v>
      </c>
      <c r="E142" s="32">
        <v>1156</v>
      </c>
    </row>
    <row r="143" spans="2:5" x14ac:dyDescent="0.25">
      <c r="B143" s="31">
        <v>141</v>
      </c>
      <c r="C143" s="44" t="s">
        <v>24</v>
      </c>
      <c r="D143" s="44" t="s">
        <v>4</v>
      </c>
      <c r="E143" s="32">
        <v>935</v>
      </c>
    </row>
    <row r="144" spans="2:5" x14ac:dyDescent="0.25">
      <c r="B144" s="31">
        <v>142</v>
      </c>
      <c r="C144" s="44" t="s">
        <v>23</v>
      </c>
      <c r="D144" s="44" t="s">
        <v>3</v>
      </c>
      <c r="E144" s="32">
        <v>393</v>
      </c>
    </row>
    <row r="145" spans="2:5" x14ac:dyDescent="0.25">
      <c r="B145" s="31">
        <v>143</v>
      </c>
      <c r="C145" s="44" t="s">
        <v>26</v>
      </c>
      <c r="D145" s="44" t="s">
        <v>6</v>
      </c>
      <c r="E145" s="32">
        <v>688</v>
      </c>
    </row>
    <row r="146" spans="2:5" x14ac:dyDescent="0.25">
      <c r="B146" s="31">
        <v>144</v>
      </c>
      <c r="C146" s="44" t="s">
        <v>23</v>
      </c>
      <c r="D146" s="44" t="s">
        <v>2</v>
      </c>
      <c r="E146" s="32">
        <v>491</v>
      </c>
    </row>
    <row r="147" spans="2:5" x14ac:dyDescent="0.25">
      <c r="B147" s="31">
        <v>145</v>
      </c>
      <c r="C147" s="44" t="s">
        <v>25</v>
      </c>
      <c r="D147" s="44" t="s">
        <v>8</v>
      </c>
      <c r="E147" s="32">
        <v>546</v>
      </c>
    </row>
    <row r="148" spans="2:5" x14ac:dyDescent="0.25">
      <c r="B148" s="31">
        <v>146</v>
      </c>
      <c r="C148" s="44" t="s">
        <v>23</v>
      </c>
      <c r="D148" s="44" t="s">
        <v>4</v>
      </c>
      <c r="E148" s="32">
        <v>847</v>
      </c>
    </row>
    <row r="149" spans="2:5" x14ac:dyDescent="0.25">
      <c r="B149" s="31">
        <v>147</v>
      </c>
      <c r="C149" s="44" t="s">
        <v>26</v>
      </c>
      <c r="D149" s="44" t="s">
        <v>9</v>
      </c>
      <c r="E149" s="32">
        <v>590</v>
      </c>
    </row>
    <row r="150" spans="2:5" x14ac:dyDescent="0.25">
      <c r="B150" s="31">
        <v>148</v>
      </c>
      <c r="C150" s="44" t="s">
        <v>23</v>
      </c>
      <c r="D150" s="44" t="s">
        <v>4</v>
      </c>
      <c r="E150" s="32">
        <v>350</v>
      </c>
    </row>
    <row r="151" spans="2:5" x14ac:dyDescent="0.25">
      <c r="B151" s="31">
        <v>149</v>
      </c>
      <c r="C151" s="44" t="s">
        <v>25</v>
      </c>
      <c r="D151" s="44" t="s">
        <v>9</v>
      </c>
      <c r="E151" s="32">
        <v>367</v>
      </c>
    </row>
    <row r="152" spans="2:5" x14ac:dyDescent="0.25">
      <c r="B152" s="31">
        <v>150</v>
      </c>
      <c r="C152" s="44" t="s">
        <v>26</v>
      </c>
      <c r="D152" s="44" t="s">
        <v>10</v>
      </c>
      <c r="E152" s="32">
        <v>1183</v>
      </c>
    </row>
    <row r="153" spans="2:5" x14ac:dyDescent="0.25">
      <c r="B153" s="31">
        <v>151</v>
      </c>
      <c r="C153" s="44" t="s">
        <v>24</v>
      </c>
      <c r="D153" s="44" t="s">
        <v>3</v>
      </c>
      <c r="E153" s="32">
        <v>912</v>
      </c>
    </row>
    <row r="154" spans="2:5" x14ac:dyDescent="0.25">
      <c r="B154" s="31">
        <v>152</v>
      </c>
      <c r="C154" s="44" t="s">
        <v>23</v>
      </c>
      <c r="D154" s="44" t="s">
        <v>4</v>
      </c>
      <c r="E154" s="32">
        <v>397</v>
      </c>
    </row>
    <row r="155" spans="2:5" x14ac:dyDescent="0.25">
      <c r="B155" s="31">
        <v>153</v>
      </c>
      <c r="C155" s="44" t="s">
        <v>25</v>
      </c>
      <c r="D155" s="44" t="s">
        <v>8</v>
      </c>
      <c r="E155" s="32">
        <v>973</v>
      </c>
    </row>
    <row r="156" spans="2:5" x14ac:dyDescent="0.25">
      <c r="B156" s="31">
        <v>154</v>
      </c>
      <c r="C156" s="44" t="s">
        <v>26</v>
      </c>
      <c r="D156" s="44" t="s">
        <v>10</v>
      </c>
      <c r="E156" s="32">
        <v>919</v>
      </c>
    </row>
    <row r="157" spans="2:5" x14ac:dyDescent="0.25">
      <c r="B157" s="31">
        <v>155</v>
      </c>
      <c r="C157" s="44" t="s">
        <v>26</v>
      </c>
      <c r="D157" s="44" t="s">
        <v>3</v>
      </c>
      <c r="E157" s="32">
        <v>527</v>
      </c>
    </row>
    <row r="158" spans="2:5" x14ac:dyDescent="0.25">
      <c r="B158" s="31">
        <v>156</v>
      </c>
      <c r="C158" s="44" t="s">
        <v>24</v>
      </c>
      <c r="D158" s="44" t="s">
        <v>8</v>
      </c>
      <c r="E158" s="32">
        <v>382</v>
      </c>
    </row>
    <row r="159" spans="2:5" x14ac:dyDescent="0.25">
      <c r="B159" s="31">
        <v>157</v>
      </c>
      <c r="C159" s="44" t="s">
        <v>27</v>
      </c>
      <c r="D159" s="44" t="s">
        <v>6</v>
      </c>
      <c r="E159" s="32">
        <v>1141</v>
      </c>
    </row>
    <row r="160" spans="2:5" x14ac:dyDescent="0.25">
      <c r="B160" s="31">
        <v>158</v>
      </c>
      <c r="C160" s="44" t="s">
        <v>23</v>
      </c>
      <c r="D160" s="44" t="s">
        <v>3</v>
      </c>
      <c r="E160" s="32">
        <v>1101</v>
      </c>
    </row>
    <row r="161" spans="2:5" x14ac:dyDescent="0.25">
      <c r="B161" s="31">
        <v>159</v>
      </c>
      <c r="C161" s="44" t="s">
        <v>24</v>
      </c>
      <c r="D161" s="44" t="s">
        <v>3</v>
      </c>
      <c r="E161" s="32">
        <v>637</v>
      </c>
    </row>
    <row r="162" spans="2:5" x14ac:dyDescent="0.25">
      <c r="B162" s="31">
        <v>160</v>
      </c>
      <c r="C162" s="44" t="s">
        <v>24</v>
      </c>
      <c r="D162" s="44" t="s">
        <v>3</v>
      </c>
      <c r="E162" s="32">
        <v>714</v>
      </c>
    </row>
    <row r="163" spans="2:5" x14ac:dyDescent="0.25">
      <c r="B163" s="31">
        <v>161</v>
      </c>
      <c r="C163" s="44" t="s">
        <v>25</v>
      </c>
      <c r="D163" s="44" t="s">
        <v>7</v>
      </c>
      <c r="E163" s="32">
        <v>474</v>
      </c>
    </row>
    <row r="164" spans="2:5" x14ac:dyDescent="0.25">
      <c r="B164" s="31">
        <v>162</v>
      </c>
      <c r="C164" s="44" t="s">
        <v>25</v>
      </c>
      <c r="D164" s="44" t="s">
        <v>7</v>
      </c>
      <c r="E164" s="32">
        <v>1185</v>
      </c>
    </row>
    <row r="165" spans="2:5" x14ac:dyDescent="0.25">
      <c r="B165" s="31">
        <v>163</v>
      </c>
      <c r="C165" s="44" t="s">
        <v>23</v>
      </c>
      <c r="D165" s="44" t="s">
        <v>10</v>
      </c>
      <c r="E165" s="32">
        <v>956</v>
      </c>
    </row>
    <row r="166" spans="2:5" x14ac:dyDescent="0.25">
      <c r="B166" s="31">
        <v>164</v>
      </c>
      <c r="C166" s="44" t="s">
        <v>26</v>
      </c>
      <c r="D166" s="44" t="s">
        <v>4</v>
      </c>
      <c r="E166" s="32">
        <v>387</v>
      </c>
    </row>
    <row r="167" spans="2:5" x14ac:dyDescent="0.25">
      <c r="B167" s="31">
        <v>165</v>
      </c>
      <c r="C167" s="44" t="s">
        <v>24</v>
      </c>
      <c r="D167" s="44" t="s">
        <v>2</v>
      </c>
      <c r="E167" s="32">
        <v>698</v>
      </c>
    </row>
    <row r="168" spans="2:5" x14ac:dyDescent="0.25">
      <c r="B168" s="31">
        <v>166</v>
      </c>
      <c r="C168" s="44" t="s">
        <v>26</v>
      </c>
      <c r="D168" s="44" t="s">
        <v>7</v>
      </c>
      <c r="E168" s="32">
        <v>351</v>
      </c>
    </row>
    <row r="169" spans="2:5" x14ac:dyDescent="0.25">
      <c r="B169" s="31">
        <v>167</v>
      </c>
      <c r="C169" s="44" t="s">
        <v>24</v>
      </c>
      <c r="D169" s="44" t="s">
        <v>6</v>
      </c>
      <c r="E169" s="32">
        <v>542</v>
      </c>
    </row>
    <row r="170" spans="2:5" x14ac:dyDescent="0.25">
      <c r="B170" s="31">
        <v>168</v>
      </c>
      <c r="C170" s="44" t="s">
        <v>23</v>
      </c>
      <c r="D170" s="44" t="s">
        <v>2</v>
      </c>
      <c r="E170" s="32">
        <v>685</v>
      </c>
    </row>
    <row r="171" spans="2:5" x14ac:dyDescent="0.25">
      <c r="B171" s="31">
        <v>169</v>
      </c>
      <c r="C171" s="44" t="s">
        <v>24</v>
      </c>
      <c r="D171" s="44" t="s">
        <v>6</v>
      </c>
      <c r="E171" s="32">
        <v>1077</v>
      </c>
    </row>
    <row r="172" spans="2:5" x14ac:dyDescent="0.25">
      <c r="B172" s="31">
        <v>170</v>
      </c>
      <c r="C172" s="44" t="s">
        <v>23</v>
      </c>
      <c r="D172" s="44" t="s">
        <v>4</v>
      </c>
      <c r="E172" s="32">
        <v>1203</v>
      </c>
    </row>
    <row r="173" spans="2:5" x14ac:dyDescent="0.25">
      <c r="B173" s="31">
        <v>171</v>
      </c>
      <c r="C173" s="44" t="s">
        <v>26</v>
      </c>
      <c r="D173" s="44" t="s">
        <v>6</v>
      </c>
      <c r="E173" s="32">
        <v>506</v>
      </c>
    </row>
    <row r="174" spans="2:5" x14ac:dyDescent="0.25">
      <c r="B174" s="31">
        <v>172</v>
      </c>
      <c r="C174" s="44" t="s">
        <v>26</v>
      </c>
      <c r="D174" s="44" t="s">
        <v>10</v>
      </c>
      <c r="E174" s="32">
        <v>354</v>
      </c>
    </row>
    <row r="175" spans="2:5" x14ac:dyDescent="0.25">
      <c r="B175" s="31">
        <v>173</v>
      </c>
      <c r="C175" s="44" t="s">
        <v>27</v>
      </c>
      <c r="D175" s="44" t="s">
        <v>10</v>
      </c>
      <c r="E175" s="32">
        <v>376</v>
      </c>
    </row>
    <row r="176" spans="2:5" x14ac:dyDescent="0.25">
      <c r="B176" s="31">
        <v>174</v>
      </c>
      <c r="C176" s="44" t="s">
        <v>24</v>
      </c>
      <c r="D176" s="44" t="s">
        <v>7</v>
      </c>
      <c r="E176" s="32">
        <v>985</v>
      </c>
    </row>
    <row r="177" spans="2:5" x14ac:dyDescent="0.25">
      <c r="B177" s="31">
        <v>175</v>
      </c>
      <c r="C177" s="44" t="s">
        <v>25</v>
      </c>
      <c r="D177" s="44" t="s">
        <v>9</v>
      </c>
      <c r="E177" s="32">
        <v>721</v>
      </c>
    </row>
    <row r="178" spans="2:5" x14ac:dyDescent="0.25">
      <c r="B178" s="31">
        <v>176</v>
      </c>
      <c r="C178" s="44" t="s">
        <v>23</v>
      </c>
      <c r="D178" s="44" t="s">
        <v>9</v>
      </c>
      <c r="E178" s="32">
        <v>820</v>
      </c>
    </row>
    <row r="179" spans="2:5" x14ac:dyDescent="0.25">
      <c r="B179" s="31">
        <v>177</v>
      </c>
      <c r="C179" s="44" t="s">
        <v>25</v>
      </c>
      <c r="D179" s="44" t="s">
        <v>8</v>
      </c>
      <c r="E179" s="32">
        <v>1196</v>
      </c>
    </row>
    <row r="180" spans="2:5" x14ac:dyDescent="0.25">
      <c r="B180" s="31">
        <v>178</v>
      </c>
      <c r="C180" s="44" t="s">
        <v>23</v>
      </c>
      <c r="D180" s="44" t="s">
        <v>4</v>
      </c>
      <c r="E180" s="32">
        <v>838</v>
      </c>
    </row>
    <row r="181" spans="2:5" x14ac:dyDescent="0.25">
      <c r="B181" s="31">
        <v>179</v>
      </c>
      <c r="C181" s="44" t="s">
        <v>26</v>
      </c>
      <c r="D181" s="44" t="s">
        <v>10</v>
      </c>
      <c r="E181" s="32">
        <v>468</v>
      </c>
    </row>
    <row r="182" spans="2:5" x14ac:dyDescent="0.25">
      <c r="B182" s="31">
        <v>180</v>
      </c>
      <c r="C182" s="44" t="s">
        <v>27</v>
      </c>
      <c r="D182" s="44" t="s">
        <v>10</v>
      </c>
      <c r="E182" s="32">
        <v>1088</v>
      </c>
    </row>
    <row r="183" spans="2:5" x14ac:dyDescent="0.25">
      <c r="B183" s="31">
        <v>181</v>
      </c>
      <c r="C183" s="44" t="s">
        <v>24</v>
      </c>
      <c r="D183" s="44" t="s">
        <v>8</v>
      </c>
      <c r="E183" s="32">
        <v>513</v>
      </c>
    </row>
    <row r="184" spans="2:5" x14ac:dyDescent="0.25">
      <c r="B184" s="31">
        <v>182</v>
      </c>
      <c r="C184" s="44" t="s">
        <v>26</v>
      </c>
      <c r="D184" s="44" t="s">
        <v>2</v>
      </c>
      <c r="E184" s="32">
        <v>924</v>
      </c>
    </row>
    <row r="185" spans="2:5" x14ac:dyDescent="0.25">
      <c r="B185" s="31">
        <v>183</v>
      </c>
      <c r="C185" s="44" t="s">
        <v>23</v>
      </c>
      <c r="D185" s="44" t="s">
        <v>8</v>
      </c>
      <c r="E185" s="32">
        <v>556</v>
      </c>
    </row>
    <row r="186" spans="2:5" x14ac:dyDescent="0.25">
      <c r="B186" s="31">
        <v>184</v>
      </c>
      <c r="C186" s="44" t="s">
        <v>26</v>
      </c>
      <c r="D186" s="44" t="s">
        <v>10</v>
      </c>
      <c r="E186" s="32">
        <v>670</v>
      </c>
    </row>
    <row r="187" spans="2:5" x14ac:dyDescent="0.25">
      <c r="B187" s="31">
        <v>185</v>
      </c>
      <c r="C187" s="44" t="s">
        <v>26</v>
      </c>
      <c r="D187" s="44" t="s">
        <v>7</v>
      </c>
      <c r="E187" s="32">
        <v>1069</v>
      </c>
    </row>
    <row r="188" spans="2:5" x14ac:dyDescent="0.25">
      <c r="B188" s="31">
        <v>186</v>
      </c>
      <c r="C188" s="44" t="s">
        <v>23</v>
      </c>
      <c r="D188" s="44" t="s">
        <v>2</v>
      </c>
      <c r="E188" s="32">
        <v>1096</v>
      </c>
    </row>
    <row r="189" spans="2:5" x14ac:dyDescent="0.25">
      <c r="B189" s="31">
        <v>187</v>
      </c>
      <c r="C189" s="44" t="s">
        <v>25</v>
      </c>
      <c r="D189" s="44" t="s">
        <v>9</v>
      </c>
      <c r="E189" s="32">
        <v>908</v>
      </c>
    </row>
    <row r="190" spans="2:5" x14ac:dyDescent="0.25">
      <c r="B190" s="31">
        <v>188</v>
      </c>
      <c r="C190" s="44" t="s">
        <v>23</v>
      </c>
      <c r="D190" s="44" t="s">
        <v>10</v>
      </c>
      <c r="E190" s="32">
        <v>796</v>
      </c>
    </row>
    <row r="191" spans="2:5" x14ac:dyDescent="0.25">
      <c r="B191" s="31">
        <v>189</v>
      </c>
      <c r="C191" s="44" t="s">
        <v>24</v>
      </c>
      <c r="D191" s="44" t="s">
        <v>4</v>
      </c>
      <c r="E191" s="32">
        <v>826</v>
      </c>
    </row>
    <row r="192" spans="2:5" x14ac:dyDescent="0.25">
      <c r="B192" s="31">
        <v>190</v>
      </c>
      <c r="C192" s="44" t="s">
        <v>26</v>
      </c>
      <c r="D192" s="44" t="s">
        <v>10</v>
      </c>
      <c r="E192" s="32">
        <v>996</v>
      </c>
    </row>
    <row r="193" spans="2:5" x14ac:dyDescent="0.25">
      <c r="B193" s="31">
        <v>191</v>
      </c>
      <c r="C193" s="44" t="s">
        <v>27</v>
      </c>
      <c r="D193" s="44" t="s">
        <v>8</v>
      </c>
      <c r="E193" s="32">
        <v>801</v>
      </c>
    </row>
    <row r="194" spans="2:5" x14ac:dyDescent="0.25">
      <c r="B194" s="31">
        <v>192</v>
      </c>
      <c r="C194" s="44" t="s">
        <v>26</v>
      </c>
      <c r="D194" s="44" t="s">
        <v>8</v>
      </c>
      <c r="E194" s="32">
        <v>744</v>
      </c>
    </row>
    <row r="195" spans="2:5" x14ac:dyDescent="0.25">
      <c r="B195" s="31">
        <v>193</v>
      </c>
      <c r="C195" s="44" t="s">
        <v>27</v>
      </c>
      <c r="D195" s="44" t="s">
        <v>9</v>
      </c>
      <c r="E195" s="32">
        <v>685</v>
      </c>
    </row>
    <row r="196" spans="2:5" x14ac:dyDescent="0.25">
      <c r="B196" s="31">
        <v>194</v>
      </c>
      <c r="C196" s="44" t="s">
        <v>26</v>
      </c>
      <c r="D196" s="44" t="s">
        <v>2</v>
      </c>
      <c r="E196" s="32">
        <v>663</v>
      </c>
    </row>
    <row r="197" spans="2:5" x14ac:dyDescent="0.25">
      <c r="B197" s="31">
        <v>195</v>
      </c>
      <c r="C197" s="44" t="s">
        <v>24</v>
      </c>
      <c r="D197" s="44" t="s">
        <v>7</v>
      </c>
      <c r="E197" s="32">
        <v>902</v>
      </c>
    </row>
    <row r="198" spans="2:5" x14ac:dyDescent="0.25">
      <c r="B198" s="31">
        <v>196</v>
      </c>
      <c r="C198" s="44" t="s">
        <v>27</v>
      </c>
      <c r="D198" s="44" t="s">
        <v>9</v>
      </c>
      <c r="E198" s="32">
        <v>747</v>
      </c>
    </row>
    <row r="199" spans="2:5" x14ac:dyDescent="0.25">
      <c r="B199" s="31">
        <v>197</v>
      </c>
      <c r="C199" s="44" t="s">
        <v>25</v>
      </c>
      <c r="D199" s="44" t="s">
        <v>7</v>
      </c>
      <c r="E199" s="32">
        <v>676</v>
      </c>
    </row>
    <row r="200" spans="2:5" x14ac:dyDescent="0.25">
      <c r="B200" s="31">
        <v>198</v>
      </c>
      <c r="C200" s="44" t="s">
        <v>26</v>
      </c>
      <c r="D200" s="44" t="s">
        <v>10</v>
      </c>
      <c r="E200" s="32">
        <v>610</v>
      </c>
    </row>
    <row r="201" spans="2:5" x14ac:dyDescent="0.25">
      <c r="B201" s="31">
        <v>199</v>
      </c>
      <c r="C201" s="44" t="s">
        <v>23</v>
      </c>
      <c r="D201" s="44" t="s">
        <v>3</v>
      </c>
      <c r="E201" s="32">
        <v>1127</v>
      </c>
    </row>
    <row r="202" spans="2:5" x14ac:dyDescent="0.25">
      <c r="B202" s="31">
        <v>200</v>
      </c>
      <c r="C202" s="44" t="s">
        <v>25</v>
      </c>
      <c r="D202" s="44" t="s">
        <v>4</v>
      </c>
      <c r="E202" s="32">
        <v>782</v>
      </c>
    </row>
    <row r="203" spans="2:5" x14ac:dyDescent="0.25">
      <c r="B203" s="31">
        <v>201</v>
      </c>
      <c r="C203" s="44" t="s">
        <v>27</v>
      </c>
      <c r="D203" s="44" t="s">
        <v>7</v>
      </c>
      <c r="E203" s="32">
        <v>921</v>
      </c>
    </row>
    <row r="204" spans="2:5" x14ac:dyDescent="0.25">
      <c r="B204" s="31">
        <v>202</v>
      </c>
      <c r="C204" s="44" t="s">
        <v>26</v>
      </c>
      <c r="D204" s="44" t="s">
        <v>10</v>
      </c>
      <c r="E204" s="32">
        <v>853</v>
      </c>
    </row>
    <row r="205" spans="2:5" x14ac:dyDescent="0.25">
      <c r="B205" s="31">
        <v>203</v>
      </c>
      <c r="C205" s="44" t="s">
        <v>23</v>
      </c>
      <c r="D205" s="44" t="s">
        <v>7</v>
      </c>
      <c r="E205" s="32">
        <v>704</v>
      </c>
    </row>
    <row r="206" spans="2:5" x14ac:dyDescent="0.25">
      <c r="B206" s="31">
        <v>204</v>
      </c>
      <c r="C206" s="44" t="s">
        <v>26</v>
      </c>
      <c r="D206" s="44" t="s">
        <v>6</v>
      </c>
      <c r="E206" s="32">
        <v>427</v>
      </c>
    </row>
    <row r="207" spans="2:5" x14ac:dyDescent="0.25">
      <c r="B207" s="31">
        <v>205</v>
      </c>
      <c r="C207" s="44" t="s">
        <v>25</v>
      </c>
      <c r="D207" s="44" t="s">
        <v>7</v>
      </c>
      <c r="E207" s="32">
        <v>885</v>
      </c>
    </row>
    <row r="208" spans="2:5" x14ac:dyDescent="0.25">
      <c r="B208" s="31">
        <v>206</v>
      </c>
      <c r="C208" s="44" t="s">
        <v>27</v>
      </c>
      <c r="D208" s="44" t="s">
        <v>3</v>
      </c>
      <c r="E208" s="32">
        <v>629</v>
      </c>
    </row>
    <row r="209" spans="2:5" x14ac:dyDescent="0.25">
      <c r="B209" s="31">
        <v>207</v>
      </c>
      <c r="C209" s="44" t="s">
        <v>24</v>
      </c>
      <c r="D209" s="44" t="s">
        <v>8</v>
      </c>
      <c r="E209" s="32">
        <v>657</v>
      </c>
    </row>
    <row r="210" spans="2:5" x14ac:dyDescent="0.25">
      <c r="B210" s="31">
        <v>208</v>
      </c>
      <c r="C210" s="44" t="s">
        <v>24</v>
      </c>
      <c r="D210" s="44" t="s">
        <v>4</v>
      </c>
      <c r="E210" s="32">
        <v>747</v>
      </c>
    </row>
    <row r="211" spans="2:5" x14ac:dyDescent="0.25">
      <c r="B211" s="31">
        <v>209</v>
      </c>
      <c r="C211" s="44" t="s">
        <v>27</v>
      </c>
      <c r="D211" s="44" t="s">
        <v>9</v>
      </c>
      <c r="E211" s="32">
        <v>398</v>
      </c>
    </row>
    <row r="212" spans="2:5" x14ac:dyDescent="0.25">
      <c r="B212" s="31">
        <v>210</v>
      </c>
      <c r="C212" s="44" t="s">
        <v>23</v>
      </c>
      <c r="D212" s="44" t="s">
        <v>7</v>
      </c>
      <c r="E212" s="32">
        <v>730</v>
      </c>
    </row>
    <row r="213" spans="2:5" x14ac:dyDescent="0.25">
      <c r="B213" s="31">
        <v>211</v>
      </c>
      <c r="C213" s="44" t="s">
        <v>25</v>
      </c>
      <c r="D213" s="44" t="s">
        <v>6</v>
      </c>
      <c r="E213" s="32">
        <v>514</v>
      </c>
    </row>
    <row r="214" spans="2:5" x14ac:dyDescent="0.25">
      <c r="B214" s="31">
        <v>212</v>
      </c>
      <c r="C214" s="44" t="s">
        <v>24</v>
      </c>
      <c r="D214" s="44" t="s">
        <v>10</v>
      </c>
      <c r="E214" s="32">
        <v>1111</v>
      </c>
    </row>
    <row r="215" spans="2:5" x14ac:dyDescent="0.25">
      <c r="B215" s="31">
        <v>213</v>
      </c>
      <c r="C215" s="44" t="s">
        <v>25</v>
      </c>
      <c r="D215" s="44" t="s">
        <v>10</v>
      </c>
      <c r="E215" s="32">
        <v>469</v>
      </c>
    </row>
    <row r="216" spans="2:5" x14ac:dyDescent="0.25">
      <c r="B216" s="31">
        <v>214</v>
      </c>
      <c r="C216" s="44" t="s">
        <v>25</v>
      </c>
      <c r="D216" s="44" t="s">
        <v>2</v>
      </c>
      <c r="E216" s="32">
        <v>1133</v>
      </c>
    </row>
    <row r="217" spans="2:5" x14ac:dyDescent="0.25">
      <c r="B217" s="31">
        <v>215</v>
      </c>
      <c r="C217" s="44" t="s">
        <v>25</v>
      </c>
      <c r="D217" s="44" t="s">
        <v>3</v>
      </c>
      <c r="E217" s="32">
        <v>1120</v>
      </c>
    </row>
    <row r="218" spans="2:5" x14ac:dyDescent="0.25">
      <c r="B218" s="31">
        <v>216</v>
      </c>
      <c r="C218" s="44" t="s">
        <v>25</v>
      </c>
      <c r="D218" s="44" t="s">
        <v>6</v>
      </c>
      <c r="E218" s="32">
        <v>536</v>
      </c>
    </row>
    <row r="219" spans="2:5" x14ac:dyDescent="0.25">
      <c r="B219" s="31">
        <v>217</v>
      </c>
      <c r="C219" s="44" t="s">
        <v>23</v>
      </c>
      <c r="D219" s="44" t="s">
        <v>6</v>
      </c>
      <c r="E219" s="32">
        <v>323</v>
      </c>
    </row>
    <row r="220" spans="2:5" x14ac:dyDescent="0.25">
      <c r="B220" s="31">
        <v>218</v>
      </c>
      <c r="C220" s="44" t="s">
        <v>25</v>
      </c>
      <c r="D220" s="44" t="s">
        <v>8</v>
      </c>
      <c r="E220" s="32">
        <v>349</v>
      </c>
    </row>
    <row r="221" spans="2:5" x14ac:dyDescent="0.25">
      <c r="B221" s="31">
        <v>219</v>
      </c>
      <c r="C221" s="44" t="s">
        <v>26</v>
      </c>
      <c r="D221" s="44" t="s">
        <v>3</v>
      </c>
      <c r="E221" s="32">
        <v>615</v>
      </c>
    </row>
    <row r="222" spans="2:5" x14ac:dyDescent="0.25">
      <c r="B222" s="31">
        <v>220</v>
      </c>
      <c r="C222" s="44" t="s">
        <v>27</v>
      </c>
      <c r="D222" s="44" t="s">
        <v>3</v>
      </c>
      <c r="E222" s="32">
        <v>1017</v>
      </c>
    </row>
    <row r="223" spans="2:5" x14ac:dyDescent="0.25">
      <c r="B223" s="31">
        <v>221</v>
      </c>
      <c r="C223" s="44" t="s">
        <v>25</v>
      </c>
      <c r="D223" s="44" t="s">
        <v>10</v>
      </c>
      <c r="E223" s="32">
        <v>543</v>
      </c>
    </row>
    <row r="224" spans="2:5" x14ac:dyDescent="0.25">
      <c r="B224" s="31">
        <v>222</v>
      </c>
      <c r="C224" s="44" t="s">
        <v>27</v>
      </c>
      <c r="D224" s="44" t="s">
        <v>7</v>
      </c>
      <c r="E224" s="32">
        <v>670</v>
      </c>
    </row>
    <row r="225" spans="2:5" x14ac:dyDescent="0.25">
      <c r="B225" s="31">
        <v>223</v>
      </c>
      <c r="C225" s="44" t="s">
        <v>27</v>
      </c>
      <c r="D225" s="44" t="s">
        <v>7</v>
      </c>
      <c r="E225" s="32">
        <v>810</v>
      </c>
    </row>
    <row r="226" spans="2:5" x14ac:dyDescent="0.25">
      <c r="B226" s="31">
        <v>224</v>
      </c>
      <c r="C226" s="44" t="s">
        <v>25</v>
      </c>
      <c r="D226" s="44" t="s">
        <v>3</v>
      </c>
      <c r="E226" s="32">
        <v>510</v>
      </c>
    </row>
    <row r="227" spans="2:5" x14ac:dyDescent="0.25">
      <c r="B227" s="31">
        <v>225</v>
      </c>
      <c r="C227" s="44" t="s">
        <v>23</v>
      </c>
      <c r="D227" s="44" t="s">
        <v>2</v>
      </c>
      <c r="E227" s="32">
        <v>1049</v>
      </c>
    </row>
    <row r="228" spans="2:5" x14ac:dyDescent="0.25">
      <c r="B228" s="31">
        <v>226</v>
      </c>
      <c r="C228" s="44" t="s">
        <v>24</v>
      </c>
      <c r="D228" s="44" t="s">
        <v>2</v>
      </c>
      <c r="E228" s="32">
        <v>1204</v>
      </c>
    </row>
    <row r="229" spans="2:5" x14ac:dyDescent="0.25">
      <c r="B229" s="31">
        <v>227</v>
      </c>
      <c r="C229" s="44" t="s">
        <v>23</v>
      </c>
      <c r="D229" s="44" t="s">
        <v>9</v>
      </c>
      <c r="E229" s="32">
        <v>1086</v>
      </c>
    </row>
    <row r="230" spans="2:5" x14ac:dyDescent="0.25">
      <c r="B230" s="31">
        <v>228</v>
      </c>
      <c r="C230" s="44" t="s">
        <v>24</v>
      </c>
      <c r="D230" s="44" t="s">
        <v>7</v>
      </c>
      <c r="E230" s="32">
        <v>923</v>
      </c>
    </row>
    <row r="231" spans="2:5" x14ac:dyDescent="0.25">
      <c r="B231" s="31">
        <v>229</v>
      </c>
      <c r="C231" s="44" t="s">
        <v>26</v>
      </c>
      <c r="D231" s="44" t="s">
        <v>3</v>
      </c>
      <c r="E231" s="32">
        <v>431</v>
      </c>
    </row>
    <row r="232" spans="2:5" x14ac:dyDescent="0.25">
      <c r="B232" s="31">
        <v>230</v>
      </c>
      <c r="C232" s="44" t="s">
        <v>25</v>
      </c>
      <c r="D232" s="44" t="s">
        <v>6</v>
      </c>
      <c r="E232" s="32">
        <v>975</v>
      </c>
    </row>
    <row r="233" spans="2:5" x14ac:dyDescent="0.25">
      <c r="B233" s="31">
        <v>231</v>
      </c>
      <c r="C233" s="44" t="s">
        <v>27</v>
      </c>
      <c r="D233" s="44" t="s">
        <v>4</v>
      </c>
      <c r="E233" s="32">
        <v>768</v>
      </c>
    </row>
    <row r="234" spans="2:5" x14ac:dyDescent="0.25">
      <c r="B234" s="31">
        <v>232</v>
      </c>
      <c r="C234" s="44" t="s">
        <v>23</v>
      </c>
      <c r="D234" s="44" t="s">
        <v>2</v>
      </c>
      <c r="E234" s="32">
        <v>798</v>
      </c>
    </row>
    <row r="235" spans="2:5" x14ac:dyDescent="0.25">
      <c r="B235" s="31">
        <v>233</v>
      </c>
      <c r="C235" s="44" t="s">
        <v>25</v>
      </c>
      <c r="D235" s="44" t="s">
        <v>4</v>
      </c>
      <c r="E235" s="32">
        <v>515</v>
      </c>
    </row>
    <row r="236" spans="2:5" x14ac:dyDescent="0.25">
      <c r="B236" s="31">
        <v>234</v>
      </c>
      <c r="C236" s="44" t="s">
        <v>27</v>
      </c>
      <c r="D236" s="44" t="s">
        <v>7</v>
      </c>
      <c r="E236" s="32">
        <v>1024</v>
      </c>
    </row>
    <row r="237" spans="2:5" x14ac:dyDescent="0.25">
      <c r="B237" s="31">
        <v>235</v>
      </c>
      <c r="C237" s="44" t="s">
        <v>25</v>
      </c>
      <c r="D237" s="44" t="s">
        <v>6</v>
      </c>
      <c r="E237" s="32">
        <v>328</v>
      </c>
    </row>
    <row r="238" spans="2:5" x14ac:dyDescent="0.25">
      <c r="B238" s="31">
        <v>236</v>
      </c>
      <c r="C238" s="44" t="s">
        <v>25</v>
      </c>
      <c r="D238" s="44" t="s">
        <v>8</v>
      </c>
      <c r="E238" s="32">
        <v>672</v>
      </c>
    </row>
    <row r="239" spans="2:5" x14ac:dyDescent="0.25">
      <c r="B239" s="31">
        <v>237</v>
      </c>
      <c r="C239" s="44" t="s">
        <v>27</v>
      </c>
      <c r="D239" s="44" t="s">
        <v>10</v>
      </c>
      <c r="E239" s="32">
        <v>609</v>
      </c>
    </row>
    <row r="240" spans="2:5" x14ac:dyDescent="0.25">
      <c r="B240" s="31">
        <v>238</v>
      </c>
      <c r="C240" s="44" t="s">
        <v>27</v>
      </c>
      <c r="D240" s="44" t="s">
        <v>8</v>
      </c>
      <c r="E240" s="32">
        <v>846</v>
      </c>
    </row>
    <row r="241" spans="2:5" x14ac:dyDescent="0.25">
      <c r="B241" s="31">
        <v>239</v>
      </c>
      <c r="C241" s="44" t="s">
        <v>27</v>
      </c>
      <c r="D241" s="44" t="s">
        <v>8</v>
      </c>
      <c r="E241" s="32">
        <v>386</v>
      </c>
    </row>
    <row r="242" spans="2:5" x14ac:dyDescent="0.25">
      <c r="B242" s="31">
        <v>240</v>
      </c>
      <c r="C242" s="44" t="s">
        <v>26</v>
      </c>
      <c r="D242" s="44" t="s">
        <v>4</v>
      </c>
      <c r="E242" s="32">
        <v>826</v>
      </c>
    </row>
    <row r="243" spans="2:5" x14ac:dyDescent="0.25">
      <c r="B243" s="31">
        <v>241</v>
      </c>
      <c r="C243" s="44" t="s">
        <v>27</v>
      </c>
      <c r="D243" s="44" t="s">
        <v>8</v>
      </c>
      <c r="E243" s="32">
        <v>1137</v>
      </c>
    </row>
    <row r="244" spans="2:5" x14ac:dyDescent="0.25">
      <c r="B244" s="31">
        <v>242</v>
      </c>
      <c r="C244" s="44" t="s">
        <v>25</v>
      </c>
      <c r="D244" s="44" t="s">
        <v>10</v>
      </c>
      <c r="E244" s="32">
        <v>371</v>
      </c>
    </row>
    <row r="245" spans="2:5" x14ac:dyDescent="0.25">
      <c r="B245" s="31">
        <v>243</v>
      </c>
      <c r="C245" s="44" t="s">
        <v>26</v>
      </c>
      <c r="D245" s="44" t="s">
        <v>7</v>
      </c>
      <c r="E245" s="32">
        <v>608</v>
      </c>
    </row>
    <row r="246" spans="2:5" x14ac:dyDescent="0.25">
      <c r="B246" s="31">
        <v>244</v>
      </c>
      <c r="C246" s="44" t="s">
        <v>23</v>
      </c>
      <c r="D246" s="44" t="s">
        <v>2</v>
      </c>
      <c r="E246" s="32">
        <v>470</v>
      </c>
    </row>
    <row r="247" spans="2:5" x14ac:dyDescent="0.25">
      <c r="B247" s="31">
        <v>245</v>
      </c>
      <c r="C247" s="44" t="s">
        <v>26</v>
      </c>
      <c r="D247" s="44" t="s">
        <v>2</v>
      </c>
      <c r="E247" s="32">
        <v>1020</v>
      </c>
    </row>
    <row r="248" spans="2:5" x14ac:dyDescent="0.25">
      <c r="B248" s="31">
        <v>246</v>
      </c>
      <c r="C248" s="44" t="s">
        <v>25</v>
      </c>
      <c r="D248" s="44" t="s">
        <v>2</v>
      </c>
      <c r="E248" s="32">
        <v>463</v>
      </c>
    </row>
    <row r="249" spans="2:5" x14ac:dyDescent="0.25">
      <c r="B249" s="31">
        <v>247</v>
      </c>
      <c r="C249" s="44" t="s">
        <v>25</v>
      </c>
      <c r="D249" s="44" t="s">
        <v>9</v>
      </c>
      <c r="E249" s="32">
        <v>643</v>
      </c>
    </row>
    <row r="250" spans="2:5" x14ac:dyDescent="0.25">
      <c r="B250" s="31">
        <v>248</v>
      </c>
      <c r="C250" s="44" t="s">
        <v>25</v>
      </c>
      <c r="D250" s="44" t="s">
        <v>3</v>
      </c>
      <c r="E250" s="32">
        <v>1174</v>
      </c>
    </row>
    <row r="251" spans="2:5" x14ac:dyDescent="0.25">
      <c r="B251" s="31">
        <v>249</v>
      </c>
      <c r="C251" s="44" t="s">
        <v>27</v>
      </c>
      <c r="D251" s="44" t="s">
        <v>10</v>
      </c>
      <c r="E251" s="32">
        <v>1023</v>
      </c>
    </row>
    <row r="252" spans="2:5" x14ac:dyDescent="0.25">
      <c r="B252" s="31">
        <v>250</v>
      </c>
      <c r="C252" s="44" t="s">
        <v>25</v>
      </c>
      <c r="D252" s="44" t="s">
        <v>2</v>
      </c>
      <c r="E252" s="32">
        <v>494</v>
      </c>
    </row>
    <row r="253" spans="2:5" x14ac:dyDescent="0.25">
      <c r="B253" s="31">
        <v>251</v>
      </c>
      <c r="C253" s="44" t="s">
        <v>23</v>
      </c>
      <c r="D253" s="44" t="s">
        <v>8</v>
      </c>
      <c r="E253" s="32">
        <v>694</v>
      </c>
    </row>
    <row r="254" spans="2:5" x14ac:dyDescent="0.25">
      <c r="B254" s="31">
        <v>252</v>
      </c>
      <c r="C254" s="44" t="s">
        <v>25</v>
      </c>
      <c r="D254" s="44" t="s">
        <v>6</v>
      </c>
      <c r="E254" s="32">
        <v>401</v>
      </c>
    </row>
    <row r="255" spans="2:5" x14ac:dyDescent="0.25">
      <c r="B255" s="31">
        <v>253</v>
      </c>
      <c r="C255" s="44" t="s">
        <v>26</v>
      </c>
      <c r="D255" s="44" t="s">
        <v>2</v>
      </c>
      <c r="E255" s="32">
        <v>1153</v>
      </c>
    </row>
    <row r="256" spans="2:5" x14ac:dyDescent="0.25">
      <c r="B256" s="31">
        <v>254</v>
      </c>
      <c r="C256" s="44" t="s">
        <v>25</v>
      </c>
      <c r="D256" s="44" t="s">
        <v>2</v>
      </c>
      <c r="E256" s="32">
        <v>371</v>
      </c>
    </row>
    <row r="257" spans="2:5" x14ac:dyDescent="0.25">
      <c r="B257" s="31">
        <v>255</v>
      </c>
      <c r="C257" s="44" t="s">
        <v>25</v>
      </c>
      <c r="D257" s="44" t="s">
        <v>6</v>
      </c>
      <c r="E257" s="32">
        <v>649</v>
      </c>
    </row>
    <row r="258" spans="2:5" x14ac:dyDescent="0.25">
      <c r="B258" s="31">
        <v>256</v>
      </c>
      <c r="C258" s="44" t="s">
        <v>23</v>
      </c>
      <c r="D258" s="44" t="s">
        <v>6</v>
      </c>
      <c r="E258" s="32">
        <v>1099</v>
      </c>
    </row>
    <row r="259" spans="2:5" x14ac:dyDescent="0.25">
      <c r="B259" s="31">
        <v>257</v>
      </c>
      <c r="C259" s="44" t="s">
        <v>26</v>
      </c>
      <c r="D259" s="44" t="s">
        <v>6</v>
      </c>
      <c r="E259" s="32">
        <v>1023</v>
      </c>
    </row>
    <row r="260" spans="2:5" x14ac:dyDescent="0.25">
      <c r="B260" s="31">
        <v>258</v>
      </c>
      <c r="C260" s="44" t="s">
        <v>23</v>
      </c>
      <c r="D260" s="44" t="s">
        <v>6</v>
      </c>
      <c r="E260" s="32">
        <v>347</v>
      </c>
    </row>
    <row r="261" spans="2:5" x14ac:dyDescent="0.25">
      <c r="B261" s="31">
        <v>259</v>
      </c>
      <c r="C261" s="44" t="s">
        <v>27</v>
      </c>
      <c r="D261" s="44" t="s">
        <v>6</v>
      </c>
      <c r="E261" s="32">
        <v>567</v>
      </c>
    </row>
    <row r="262" spans="2:5" x14ac:dyDescent="0.25">
      <c r="B262" s="31">
        <v>260</v>
      </c>
      <c r="C262" s="44" t="s">
        <v>23</v>
      </c>
      <c r="D262" s="44" t="s">
        <v>4</v>
      </c>
      <c r="E262" s="32">
        <v>632</v>
      </c>
    </row>
    <row r="263" spans="2:5" x14ac:dyDescent="0.25">
      <c r="B263" s="31">
        <v>261</v>
      </c>
      <c r="C263" s="44" t="s">
        <v>26</v>
      </c>
      <c r="D263" s="44" t="s">
        <v>8</v>
      </c>
      <c r="E263" s="32">
        <v>607</v>
      </c>
    </row>
    <row r="264" spans="2:5" x14ac:dyDescent="0.25">
      <c r="B264" s="31">
        <v>262</v>
      </c>
      <c r="C264" s="44" t="s">
        <v>24</v>
      </c>
      <c r="D264" s="44" t="s">
        <v>9</v>
      </c>
      <c r="E264" s="32">
        <v>846</v>
      </c>
    </row>
    <row r="265" spans="2:5" x14ac:dyDescent="0.25">
      <c r="B265" s="31">
        <v>263</v>
      </c>
      <c r="C265" s="44" t="s">
        <v>26</v>
      </c>
      <c r="D265" s="44" t="s">
        <v>10</v>
      </c>
      <c r="E265" s="32">
        <v>681</v>
      </c>
    </row>
    <row r="266" spans="2:5" x14ac:dyDescent="0.25">
      <c r="B266" s="31">
        <v>264</v>
      </c>
      <c r="C266" s="44" t="s">
        <v>27</v>
      </c>
      <c r="D266" s="44" t="s">
        <v>8</v>
      </c>
      <c r="E266" s="32">
        <v>627</v>
      </c>
    </row>
    <row r="267" spans="2:5" x14ac:dyDescent="0.25">
      <c r="B267" s="31">
        <v>265</v>
      </c>
      <c r="C267" s="44" t="s">
        <v>26</v>
      </c>
      <c r="D267" s="44" t="s">
        <v>6</v>
      </c>
      <c r="E267" s="32">
        <v>548</v>
      </c>
    </row>
    <row r="268" spans="2:5" x14ac:dyDescent="0.25">
      <c r="B268" s="31">
        <v>266</v>
      </c>
      <c r="C268" s="44" t="s">
        <v>26</v>
      </c>
      <c r="D268" s="44" t="s">
        <v>7</v>
      </c>
      <c r="E268" s="32">
        <v>514</v>
      </c>
    </row>
    <row r="269" spans="2:5" x14ac:dyDescent="0.25">
      <c r="B269" s="31">
        <v>267</v>
      </c>
      <c r="C269" s="44" t="s">
        <v>26</v>
      </c>
      <c r="D269" s="44" t="s">
        <v>9</v>
      </c>
      <c r="E269" s="32">
        <v>429</v>
      </c>
    </row>
    <row r="270" spans="2:5" x14ac:dyDescent="0.25">
      <c r="B270" s="31">
        <v>268</v>
      </c>
      <c r="C270" s="44" t="s">
        <v>24</v>
      </c>
      <c r="D270" s="44" t="s">
        <v>4</v>
      </c>
      <c r="E270" s="32">
        <v>1111</v>
      </c>
    </row>
    <row r="271" spans="2:5" x14ac:dyDescent="0.25">
      <c r="B271" s="31">
        <v>269</v>
      </c>
      <c r="C271" s="44" t="s">
        <v>27</v>
      </c>
      <c r="D271" s="44" t="s">
        <v>2</v>
      </c>
      <c r="E271" s="32">
        <v>1178</v>
      </c>
    </row>
    <row r="272" spans="2:5" x14ac:dyDescent="0.25">
      <c r="B272" s="31">
        <v>270</v>
      </c>
      <c r="C272" s="44" t="s">
        <v>23</v>
      </c>
      <c r="D272" s="44" t="s">
        <v>4</v>
      </c>
      <c r="E272" s="32">
        <v>421</v>
      </c>
    </row>
    <row r="273" spans="2:5" x14ac:dyDescent="0.25">
      <c r="B273" s="31">
        <v>271</v>
      </c>
      <c r="C273" s="44" t="s">
        <v>26</v>
      </c>
      <c r="D273" s="44" t="s">
        <v>4</v>
      </c>
      <c r="E273" s="32">
        <v>338</v>
      </c>
    </row>
    <row r="274" spans="2:5" x14ac:dyDescent="0.25">
      <c r="B274" s="31">
        <v>272</v>
      </c>
      <c r="C274" s="44" t="s">
        <v>24</v>
      </c>
      <c r="D274" s="44" t="s">
        <v>9</v>
      </c>
      <c r="E274" s="32">
        <v>706</v>
      </c>
    </row>
    <row r="275" spans="2:5" x14ac:dyDescent="0.25">
      <c r="B275" s="31">
        <v>273</v>
      </c>
      <c r="C275" s="44" t="s">
        <v>27</v>
      </c>
      <c r="D275" s="44" t="s">
        <v>8</v>
      </c>
      <c r="E275" s="32">
        <v>701</v>
      </c>
    </row>
    <row r="276" spans="2:5" x14ac:dyDescent="0.25">
      <c r="B276" s="31">
        <v>274</v>
      </c>
      <c r="C276" s="44" t="s">
        <v>23</v>
      </c>
      <c r="D276" s="44" t="s">
        <v>6</v>
      </c>
      <c r="E276" s="32">
        <v>659</v>
      </c>
    </row>
    <row r="277" spans="2:5" x14ac:dyDescent="0.25">
      <c r="B277" s="31">
        <v>275</v>
      </c>
      <c r="C277" s="44" t="s">
        <v>25</v>
      </c>
      <c r="D277" s="44" t="s">
        <v>4</v>
      </c>
      <c r="E277" s="32">
        <v>697</v>
      </c>
    </row>
    <row r="278" spans="2:5" x14ac:dyDescent="0.25">
      <c r="B278" s="31">
        <v>276</v>
      </c>
      <c r="C278" s="44" t="s">
        <v>26</v>
      </c>
      <c r="D278" s="44" t="s">
        <v>10</v>
      </c>
      <c r="E278" s="32">
        <v>993</v>
      </c>
    </row>
    <row r="279" spans="2:5" x14ac:dyDescent="0.25">
      <c r="B279" s="31">
        <v>277</v>
      </c>
      <c r="C279" s="44" t="s">
        <v>27</v>
      </c>
      <c r="D279" s="44" t="s">
        <v>9</v>
      </c>
      <c r="E279" s="32">
        <v>414</v>
      </c>
    </row>
    <row r="280" spans="2:5" x14ac:dyDescent="0.25">
      <c r="B280" s="31">
        <v>278</v>
      </c>
      <c r="C280" s="44" t="s">
        <v>27</v>
      </c>
      <c r="D280" s="44" t="s">
        <v>7</v>
      </c>
      <c r="E280" s="32">
        <v>1128</v>
      </c>
    </row>
    <row r="281" spans="2:5" x14ac:dyDescent="0.25">
      <c r="B281" s="31">
        <v>279</v>
      </c>
      <c r="C281" s="44" t="s">
        <v>25</v>
      </c>
      <c r="D281" s="44" t="s">
        <v>8</v>
      </c>
      <c r="E281" s="32">
        <v>1108</v>
      </c>
    </row>
    <row r="282" spans="2:5" x14ac:dyDescent="0.25">
      <c r="B282" s="31">
        <v>280</v>
      </c>
      <c r="C282" s="44" t="s">
        <v>23</v>
      </c>
      <c r="D282" s="44" t="s">
        <v>6</v>
      </c>
      <c r="E282" s="32">
        <v>767</v>
      </c>
    </row>
    <row r="283" spans="2:5" x14ac:dyDescent="0.25">
      <c r="B283" s="31">
        <v>281</v>
      </c>
      <c r="C283" s="44" t="s">
        <v>25</v>
      </c>
      <c r="D283" s="44" t="s">
        <v>3</v>
      </c>
      <c r="E283" s="32">
        <v>606</v>
      </c>
    </row>
    <row r="284" spans="2:5" x14ac:dyDescent="0.25">
      <c r="B284" s="31">
        <v>282</v>
      </c>
      <c r="C284" s="44" t="s">
        <v>26</v>
      </c>
      <c r="D284" s="44" t="s">
        <v>6</v>
      </c>
      <c r="E284" s="32">
        <v>696</v>
      </c>
    </row>
    <row r="285" spans="2:5" x14ac:dyDescent="0.25">
      <c r="B285" s="31">
        <v>283</v>
      </c>
      <c r="C285" s="44" t="s">
        <v>24</v>
      </c>
      <c r="D285" s="44" t="s">
        <v>6</v>
      </c>
      <c r="E285" s="32">
        <v>1118</v>
      </c>
    </row>
    <row r="286" spans="2:5" x14ac:dyDescent="0.25">
      <c r="B286" s="31">
        <v>284</v>
      </c>
      <c r="C286" s="44" t="s">
        <v>24</v>
      </c>
      <c r="D286" s="44" t="s">
        <v>7</v>
      </c>
      <c r="E286" s="32">
        <v>1050</v>
      </c>
    </row>
    <row r="287" spans="2:5" x14ac:dyDescent="0.25">
      <c r="B287" s="31">
        <v>285</v>
      </c>
      <c r="C287" s="44" t="s">
        <v>24</v>
      </c>
      <c r="D287" s="44" t="s">
        <v>10</v>
      </c>
      <c r="E287" s="32">
        <v>569</v>
      </c>
    </row>
    <row r="288" spans="2:5" x14ac:dyDescent="0.25">
      <c r="B288" s="31">
        <v>286</v>
      </c>
      <c r="C288" s="44" t="s">
        <v>26</v>
      </c>
      <c r="D288" s="44" t="s">
        <v>6</v>
      </c>
      <c r="E288" s="32">
        <v>400</v>
      </c>
    </row>
    <row r="289" spans="2:5" x14ac:dyDescent="0.25">
      <c r="B289" s="31">
        <v>287</v>
      </c>
      <c r="C289" s="44" t="s">
        <v>27</v>
      </c>
      <c r="D289" s="44" t="s">
        <v>4</v>
      </c>
      <c r="E289" s="32">
        <v>704</v>
      </c>
    </row>
    <row r="290" spans="2:5" x14ac:dyDescent="0.25">
      <c r="B290" s="31">
        <v>288</v>
      </c>
      <c r="C290" s="44" t="s">
        <v>25</v>
      </c>
      <c r="D290" s="44" t="s">
        <v>9</v>
      </c>
      <c r="E290" s="32">
        <v>408</v>
      </c>
    </row>
    <row r="291" spans="2:5" x14ac:dyDescent="0.25">
      <c r="B291" s="31">
        <v>289</v>
      </c>
      <c r="C291" s="44" t="s">
        <v>24</v>
      </c>
      <c r="D291" s="44" t="s">
        <v>8</v>
      </c>
      <c r="E291" s="32">
        <v>377</v>
      </c>
    </row>
    <row r="292" spans="2:5" x14ac:dyDescent="0.25">
      <c r="B292" s="31">
        <v>290</v>
      </c>
      <c r="C292" s="44" t="s">
        <v>26</v>
      </c>
      <c r="D292" s="44" t="s">
        <v>2</v>
      </c>
      <c r="E292" s="32">
        <v>328</v>
      </c>
    </row>
    <row r="293" spans="2:5" x14ac:dyDescent="0.25">
      <c r="B293" s="31">
        <v>291</v>
      </c>
      <c r="C293" s="44" t="s">
        <v>27</v>
      </c>
      <c r="D293" s="44" t="s">
        <v>9</v>
      </c>
      <c r="E293" s="32">
        <v>432</v>
      </c>
    </row>
    <row r="294" spans="2:5" x14ac:dyDescent="0.25">
      <c r="B294" s="31">
        <v>292</v>
      </c>
      <c r="C294" s="44" t="s">
        <v>25</v>
      </c>
      <c r="D294" s="44" t="s">
        <v>10</v>
      </c>
      <c r="E294" s="32">
        <v>701</v>
      </c>
    </row>
    <row r="295" spans="2:5" x14ac:dyDescent="0.25">
      <c r="B295" s="31">
        <v>293</v>
      </c>
      <c r="C295" s="44" t="s">
        <v>26</v>
      </c>
      <c r="D295" s="44" t="s">
        <v>9</v>
      </c>
      <c r="E295" s="32">
        <v>942</v>
      </c>
    </row>
    <row r="296" spans="2:5" x14ac:dyDescent="0.25">
      <c r="B296" s="31">
        <v>294</v>
      </c>
      <c r="C296" s="44" t="s">
        <v>26</v>
      </c>
      <c r="D296" s="44" t="s">
        <v>7</v>
      </c>
      <c r="E296" s="32">
        <v>1185</v>
      </c>
    </row>
    <row r="297" spans="2:5" x14ac:dyDescent="0.25">
      <c r="B297" s="31">
        <v>295</v>
      </c>
      <c r="C297" s="44" t="s">
        <v>27</v>
      </c>
      <c r="D297" s="44" t="s">
        <v>10</v>
      </c>
      <c r="E297" s="32">
        <v>556</v>
      </c>
    </row>
    <row r="298" spans="2:5" x14ac:dyDescent="0.25">
      <c r="B298" s="31">
        <v>296</v>
      </c>
      <c r="C298" s="44" t="s">
        <v>23</v>
      </c>
      <c r="D298" s="44" t="s">
        <v>2</v>
      </c>
      <c r="E298" s="32">
        <v>1135</v>
      </c>
    </row>
    <row r="299" spans="2:5" x14ac:dyDescent="0.25">
      <c r="B299" s="31">
        <v>297</v>
      </c>
      <c r="C299" s="44" t="s">
        <v>25</v>
      </c>
      <c r="D299" s="44" t="s">
        <v>8</v>
      </c>
      <c r="E299" s="32">
        <v>398</v>
      </c>
    </row>
    <row r="300" spans="2:5" x14ac:dyDescent="0.25">
      <c r="B300" s="31">
        <v>298</v>
      </c>
      <c r="C300" s="44" t="s">
        <v>24</v>
      </c>
      <c r="D300" s="44" t="s">
        <v>10</v>
      </c>
      <c r="E300" s="32">
        <v>456</v>
      </c>
    </row>
    <row r="301" spans="2:5" x14ac:dyDescent="0.25">
      <c r="B301" s="31">
        <v>299</v>
      </c>
      <c r="C301" s="44" t="s">
        <v>24</v>
      </c>
      <c r="D301" s="44" t="s">
        <v>2</v>
      </c>
      <c r="E301" s="32">
        <v>1039</v>
      </c>
    </row>
    <row r="302" spans="2:5" x14ac:dyDescent="0.25">
      <c r="B302" s="31">
        <v>300</v>
      </c>
      <c r="C302" s="44" t="s">
        <v>23</v>
      </c>
      <c r="D302" s="44" t="s">
        <v>2</v>
      </c>
      <c r="E302" s="32">
        <v>703</v>
      </c>
    </row>
    <row r="303" spans="2:5" x14ac:dyDescent="0.25">
      <c r="B303" s="31">
        <v>301</v>
      </c>
      <c r="C303" s="44" t="s">
        <v>25</v>
      </c>
      <c r="D303" s="44" t="s">
        <v>7</v>
      </c>
      <c r="E303" s="32">
        <v>831</v>
      </c>
    </row>
    <row r="304" spans="2:5" x14ac:dyDescent="0.25">
      <c r="B304" s="31">
        <v>302</v>
      </c>
      <c r="C304" s="44" t="s">
        <v>25</v>
      </c>
      <c r="D304" s="44" t="s">
        <v>2</v>
      </c>
      <c r="E304" s="32">
        <v>879</v>
      </c>
    </row>
    <row r="305" spans="2:5" x14ac:dyDescent="0.25">
      <c r="B305" s="31">
        <v>303</v>
      </c>
      <c r="C305" s="44" t="s">
        <v>26</v>
      </c>
      <c r="D305" s="44" t="s">
        <v>7</v>
      </c>
      <c r="E305" s="32">
        <v>890</v>
      </c>
    </row>
    <row r="306" spans="2:5" x14ac:dyDescent="0.25">
      <c r="B306" s="31">
        <v>304</v>
      </c>
      <c r="C306" s="44" t="s">
        <v>26</v>
      </c>
      <c r="D306" s="44" t="s">
        <v>4</v>
      </c>
      <c r="E306" s="32">
        <v>993</v>
      </c>
    </row>
    <row r="307" spans="2:5" x14ac:dyDescent="0.25">
      <c r="B307" s="31">
        <v>305</v>
      </c>
      <c r="C307" s="44" t="s">
        <v>24</v>
      </c>
      <c r="D307" s="44" t="s">
        <v>4</v>
      </c>
      <c r="E307" s="32">
        <v>1019</v>
      </c>
    </row>
    <row r="308" spans="2:5" x14ac:dyDescent="0.25">
      <c r="B308" s="31">
        <v>306</v>
      </c>
      <c r="C308" s="44" t="s">
        <v>27</v>
      </c>
      <c r="D308" s="44" t="s">
        <v>7</v>
      </c>
      <c r="E308" s="32">
        <v>579</v>
      </c>
    </row>
    <row r="309" spans="2:5" x14ac:dyDescent="0.25">
      <c r="B309" s="31">
        <v>307</v>
      </c>
      <c r="C309" s="44" t="s">
        <v>27</v>
      </c>
      <c r="D309" s="44" t="s">
        <v>6</v>
      </c>
      <c r="E309" s="32">
        <v>734</v>
      </c>
    </row>
    <row r="310" spans="2:5" x14ac:dyDescent="0.25">
      <c r="B310" s="31">
        <v>308</v>
      </c>
      <c r="C310" s="44" t="s">
        <v>26</v>
      </c>
      <c r="D310" s="44" t="s">
        <v>3</v>
      </c>
      <c r="E310" s="32">
        <v>452</v>
      </c>
    </row>
    <row r="311" spans="2:5" x14ac:dyDescent="0.25">
      <c r="B311" s="31">
        <v>309</v>
      </c>
      <c r="C311" s="44" t="s">
        <v>25</v>
      </c>
      <c r="D311" s="44" t="s">
        <v>6</v>
      </c>
      <c r="E311" s="32">
        <v>776</v>
      </c>
    </row>
    <row r="312" spans="2:5" x14ac:dyDescent="0.25">
      <c r="B312" s="31">
        <v>310</v>
      </c>
      <c r="C312" s="44" t="s">
        <v>24</v>
      </c>
      <c r="D312" s="44" t="s">
        <v>8</v>
      </c>
      <c r="E312" s="32">
        <v>1028</v>
      </c>
    </row>
    <row r="313" spans="2:5" x14ac:dyDescent="0.25">
      <c r="B313" s="31">
        <v>311</v>
      </c>
      <c r="C313" s="44" t="s">
        <v>25</v>
      </c>
      <c r="D313" s="44" t="s">
        <v>2</v>
      </c>
      <c r="E313" s="32">
        <v>418</v>
      </c>
    </row>
    <row r="314" spans="2:5" x14ac:dyDescent="0.25">
      <c r="B314" s="31">
        <v>312</v>
      </c>
      <c r="C314" s="44" t="s">
        <v>27</v>
      </c>
      <c r="D314" s="44" t="s">
        <v>3</v>
      </c>
      <c r="E314" s="32">
        <v>1195</v>
      </c>
    </row>
    <row r="315" spans="2:5" x14ac:dyDescent="0.25">
      <c r="B315" s="31">
        <v>313</v>
      </c>
      <c r="C315" s="44" t="s">
        <v>26</v>
      </c>
      <c r="D315" s="44" t="s">
        <v>10</v>
      </c>
      <c r="E315" s="32">
        <v>639</v>
      </c>
    </row>
    <row r="316" spans="2:5" x14ac:dyDescent="0.25">
      <c r="B316" s="31">
        <v>314</v>
      </c>
      <c r="C316" s="44" t="s">
        <v>26</v>
      </c>
      <c r="D316" s="44" t="s">
        <v>6</v>
      </c>
      <c r="E316" s="32">
        <v>622</v>
      </c>
    </row>
    <row r="317" spans="2:5" x14ac:dyDescent="0.25">
      <c r="B317" s="31">
        <v>315</v>
      </c>
      <c r="C317" s="44" t="s">
        <v>26</v>
      </c>
      <c r="D317" s="44" t="s">
        <v>4</v>
      </c>
      <c r="E317" s="32">
        <v>1045</v>
      </c>
    </row>
    <row r="318" spans="2:5" x14ac:dyDescent="0.25">
      <c r="B318" s="31">
        <v>316</v>
      </c>
      <c r="C318" s="44" t="s">
        <v>26</v>
      </c>
      <c r="D318" s="44" t="s">
        <v>7</v>
      </c>
      <c r="E318" s="32">
        <v>978</v>
      </c>
    </row>
    <row r="319" spans="2:5" x14ac:dyDescent="0.25">
      <c r="B319" s="31">
        <v>317</v>
      </c>
      <c r="C319" s="44" t="s">
        <v>25</v>
      </c>
      <c r="D319" s="44" t="s">
        <v>7</v>
      </c>
      <c r="E319" s="32">
        <v>788</v>
      </c>
    </row>
    <row r="320" spans="2:5" x14ac:dyDescent="0.25">
      <c r="B320" s="31">
        <v>318</v>
      </c>
      <c r="C320" s="44" t="s">
        <v>26</v>
      </c>
      <c r="D320" s="44" t="s">
        <v>3</v>
      </c>
      <c r="E320" s="32">
        <v>745</v>
      </c>
    </row>
    <row r="321" spans="2:5" x14ac:dyDescent="0.25">
      <c r="B321" s="31">
        <v>319</v>
      </c>
      <c r="C321" s="44" t="s">
        <v>23</v>
      </c>
      <c r="D321" s="44" t="s">
        <v>8</v>
      </c>
      <c r="E321" s="32">
        <v>554</v>
      </c>
    </row>
    <row r="322" spans="2:5" x14ac:dyDescent="0.25">
      <c r="B322" s="31">
        <v>320</v>
      </c>
      <c r="C322" s="44" t="s">
        <v>24</v>
      </c>
      <c r="D322" s="44" t="s">
        <v>9</v>
      </c>
      <c r="E322" s="32">
        <v>626</v>
      </c>
    </row>
    <row r="323" spans="2:5" x14ac:dyDescent="0.25">
      <c r="B323" s="31">
        <v>321</v>
      </c>
      <c r="C323" s="44" t="s">
        <v>25</v>
      </c>
      <c r="D323" s="44" t="s">
        <v>6</v>
      </c>
      <c r="E323" s="32">
        <v>322</v>
      </c>
    </row>
    <row r="324" spans="2:5" x14ac:dyDescent="0.25">
      <c r="B324" s="31">
        <v>322</v>
      </c>
      <c r="C324" s="44" t="s">
        <v>24</v>
      </c>
      <c r="D324" s="44" t="s">
        <v>10</v>
      </c>
      <c r="E324" s="32">
        <v>1059</v>
      </c>
    </row>
    <row r="325" spans="2:5" x14ac:dyDescent="0.25">
      <c r="B325" s="31">
        <v>323</v>
      </c>
      <c r="C325" s="44" t="s">
        <v>24</v>
      </c>
      <c r="D325" s="44" t="s">
        <v>10</v>
      </c>
      <c r="E325" s="32">
        <v>724</v>
      </c>
    </row>
    <row r="326" spans="2:5" x14ac:dyDescent="0.25">
      <c r="B326" s="31">
        <v>324</v>
      </c>
      <c r="C326" s="44" t="s">
        <v>24</v>
      </c>
      <c r="D326" s="44" t="s">
        <v>4</v>
      </c>
      <c r="E326" s="32">
        <v>1206</v>
      </c>
    </row>
    <row r="327" spans="2:5" x14ac:dyDescent="0.25">
      <c r="B327" s="31">
        <v>325</v>
      </c>
      <c r="C327" s="44" t="s">
        <v>25</v>
      </c>
      <c r="D327" s="44" t="s">
        <v>3</v>
      </c>
      <c r="E327" s="32">
        <v>622</v>
      </c>
    </row>
    <row r="328" spans="2:5" x14ac:dyDescent="0.25">
      <c r="B328" s="31">
        <v>326</v>
      </c>
      <c r="C328" s="44" t="s">
        <v>26</v>
      </c>
      <c r="D328" s="44" t="s">
        <v>3</v>
      </c>
      <c r="E328" s="32">
        <v>338</v>
      </c>
    </row>
    <row r="329" spans="2:5" x14ac:dyDescent="0.25">
      <c r="B329" s="31">
        <v>327</v>
      </c>
      <c r="C329" s="44" t="s">
        <v>25</v>
      </c>
      <c r="D329" s="44" t="s">
        <v>9</v>
      </c>
      <c r="E329" s="32">
        <v>836</v>
      </c>
    </row>
    <row r="330" spans="2:5" x14ac:dyDescent="0.25">
      <c r="B330" s="31">
        <v>328</v>
      </c>
      <c r="C330" s="44" t="s">
        <v>23</v>
      </c>
      <c r="D330" s="44" t="s">
        <v>8</v>
      </c>
      <c r="E330" s="32">
        <v>884</v>
      </c>
    </row>
    <row r="331" spans="2:5" x14ac:dyDescent="0.25">
      <c r="B331" s="31">
        <v>329</v>
      </c>
      <c r="C331" s="44" t="s">
        <v>23</v>
      </c>
      <c r="D331" s="44" t="s">
        <v>9</v>
      </c>
      <c r="E331" s="32">
        <v>427</v>
      </c>
    </row>
    <row r="332" spans="2:5" x14ac:dyDescent="0.25">
      <c r="B332" s="31">
        <v>330</v>
      </c>
      <c r="C332" s="44" t="s">
        <v>24</v>
      </c>
      <c r="D332" s="44" t="s">
        <v>7</v>
      </c>
      <c r="E332" s="32">
        <v>1033</v>
      </c>
    </row>
    <row r="333" spans="2:5" x14ac:dyDescent="0.25">
      <c r="B333" s="31">
        <v>331</v>
      </c>
      <c r="C333" s="44" t="s">
        <v>23</v>
      </c>
      <c r="D333" s="44" t="s">
        <v>4</v>
      </c>
      <c r="E333" s="32">
        <v>1095</v>
      </c>
    </row>
    <row r="334" spans="2:5" x14ac:dyDescent="0.25">
      <c r="B334" s="31">
        <v>332</v>
      </c>
      <c r="C334" s="44" t="s">
        <v>27</v>
      </c>
      <c r="D334" s="44" t="s">
        <v>8</v>
      </c>
      <c r="E334" s="32">
        <v>688</v>
      </c>
    </row>
    <row r="335" spans="2:5" x14ac:dyDescent="0.25">
      <c r="B335" s="31">
        <v>333</v>
      </c>
      <c r="C335" s="44" t="s">
        <v>27</v>
      </c>
      <c r="D335" s="44" t="s">
        <v>9</v>
      </c>
      <c r="E335" s="32">
        <v>1147</v>
      </c>
    </row>
    <row r="336" spans="2:5" x14ac:dyDescent="0.25">
      <c r="B336" s="31">
        <v>334</v>
      </c>
      <c r="C336" s="44" t="s">
        <v>24</v>
      </c>
      <c r="D336" s="44" t="s">
        <v>9</v>
      </c>
      <c r="E336" s="32">
        <v>1085</v>
      </c>
    </row>
    <row r="337" spans="2:5" x14ac:dyDescent="0.25">
      <c r="B337" s="31">
        <v>335</v>
      </c>
      <c r="C337" s="44" t="s">
        <v>26</v>
      </c>
      <c r="D337" s="44" t="s">
        <v>7</v>
      </c>
      <c r="E337" s="32">
        <v>1146</v>
      </c>
    </row>
    <row r="338" spans="2:5" x14ac:dyDescent="0.25">
      <c r="B338" s="31">
        <v>336</v>
      </c>
      <c r="C338" s="44" t="s">
        <v>24</v>
      </c>
      <c r="D338" s="44" t="s">
        <v>7</v>
      </c>
      <c r="E338" s="32">
        <v>584</v>
      </c>
    </row>
    <row r="339" spans="2:5" x14ac:dyDescent="0.25">
      <c r="B339" s="31">
        <v>337</v>
      </c>
      <c r="C339" s="44" t="s">
        <v>26</v>
      </c>
      <c r="D339" s="44" t="s">
        <v>6</v>
      </c>
      <c r="E339" s="32">
        <v>485</v>
      </c>
    </row>
    <row r="340" spans="2:5" x14ac:dyDescent="0.25">
      <c r="B340" s="31">
        <v>338</v>
      </c>
      <c r="C340" s="44" t="s">
        <v>27</v>
      </c>
      <c r="D340" s="44" t="s">
        <v>10</v>
      </c>
      <c r="E340" s="32">
        <v>370</v>
      </c>
    </row>
    <row r="341" spans="2:5" x14ac:dyDescent="0.25">
      <c r="B341" s="31">
        <v>339</v>
      </c>
      <c r="C341" s="44" t="s">
        <v>24</v>
      </c>
      <c r="D341" s="44" t="s">
        <v>9</v>
      </c>
      <c r="E341" s="32">
        <v>445</v>
      </c>
    </row>
    <row r="342" spans="2:5" x14ac:dyDescent="0.25">
      <c r="B342" s="31">
        <v>340</v>
      </c>
      <c r="C342" s="44" t="s">
        <v>26</v>
      </c>
      <c r="D342" s="44" t="s">
        <v>9</v>
      </c>
      <c r="E342" s="32">
        <v>426</v>
      </c>
    </row>
    <row r="343" spans="2:5" x14ac:dyDescent="0.25">
      <c r="B343" s="31">
        <v>341</v>
      </c>
      <c r="C343" s="44" t="s">
        <v>25</v>
      </c>
      <c r="D343" s="44" t="s">
        <v>7</v>
      </c>
      <c r="E343" s="32">
        <v>479</v>
      </c>
    </row>
    <row r="344" spans="2:5" x14ac:dyDescent="0.25">
      <c r="B344" s="31">
        <v>342</v>
      </c>
      <c r="C344" s="44" t="s">
        <v>26</v>
      </c>
      <c r="D344" s="44" t="s">
        <v>6</v>
      </c>
      <c r="E344" s="32">
        <v>657</v>
      </c>
    </row>
    <row r="345" spans="2:5" x14ac:dyDescent="0.25">
      <c r="B345" s="31">
        <v>343</v>
      </c>
      <c r="C345" s="44" t="s">
        <v>24</v>
      </c>
      <c r="D345" s="44" t="s">
        <v>4</v>
      </c>
      <c r="E345" s="32">
        <v>1203</v>
      </c>
    </row>
    <row r="346" spans="2:5" x14ac:dyDescent="0.25">
      <c r="B346" s="31">
        <v>344</v>
      </c>
      <c r="C346" s="44" t="s">
        <v>25</v>
      </c>
      <c r="D346" s="44" t="s">
        <v>2</v>
      </c>
      <c r="E346" s="32">
        <v>542</v>
      </c>
    </row>
    <row r="347" spans="2:5" x14ac:dyDescent="0.25">
      <c r="B347" s="31">
        <v>345</v>
      </c>
      <c r="C347" s="44" t="s">
        <v>24</v>
      </c>
      <c r="D347" s="44" t="s">
        <v>3</v>
      </c>
      <c r="E347" s="32">
        <v>701</v>
      </c>
    </row>
    <row r="348" spans="2:5" x14ac:dyDescent="0.25">
      <c r="B348" s="31">
        <v>346</v>
      </c>
      <c r="C348" s="44" t="s">
        <v>23</v>
      </c>
      <c r="D348" s="44" t="s">
        <v>8</v>
      </c>
      <c r="E348" s="32">
        <v>510</v>
      </c>
    </row>
    <row r="349" spans="2:5" x14ac:dyDescent="0.25">
      <c r="B349" s="31">
        <v>347</v>
      </c>
      <c r="C349" s="44" t="s">
        <v>23</v>
      </c>
      <c r="D349" s="44" t="s">
        <v>3</v>
      </c>
      <c r="E349" s="32">
        <v>763</v>
      </c>
    </row>
    <row r="350" spans="2:5" x14ac:dyDescent="0.25">
      <c r="B350" s="31">
        <v>348</v>
      </c>
      <c r="C350" s="44" t="s">
        <v>27</v>
      </c>
      <c r="D350" s="44" t="s">
        <v>6</v>
      </c>
      <c r="E350" s="32">
        <v>1185</v>
      </c>
    </row>
    <row r="351" spans="2:5" x14ac:dyDescent="0.25">
      <c r="B351" s="31">
        <v>349</v>
      </c>
      <c r="C351" s="44" t="s">
        <v>26</v>
      </c>
      <c r="D351" s="44" t="s">
        <v>9</v>
      </c>
      <c r="E351" s="32">
        <v>378</v>
      </c>
    </row>
    <row r="352" spans="2:5" x14ac:dyDescent="0.25">
      <c r="B352" s="31">
        <v>350</v>
      </c>
      <c r="C352" s="44" t="s">
        <v>26</v>
      </c>
      <c r="D352" s="44" t="s">
        <v>8</v>
      </c>
      <c r="E352" s="32">
        <v>1023</v>
      </c>
    </row>
    <row r="353" spans="2:5" x14ac:dyDescent="0.25">
      <c r="B353" s="31">
        <v>351</v>
      </c>
      <c r="C353" s="44" t="s">
        <v>27</v>
      </c>
      <c r="D353" s="44" t="s">
        <v>4</v>
      </c>
      <c r="E353" s="32">
        <v>328</v>
      </c>
    </row>
    <row r="354" spans="2:5" x14ac:dyDescent="0.25">
      <c r="B354" s="31">
        <v>352</v>
      </c>
      <c r="C354" s="44" t="s">
        <v>27</v>
      </c>
      <c r="D354" s="44" t="s">
        <v>8</v>
      </c>
      <c r="E354" s="32">
        <v>966</v>
      </c>
    </row>
    <row r="355" spans="2:5" x14ac:dyDescent="0.25">
      <c r="B355" s="31">
        <v>353</v>
      </c>
      <c r="C355" s="44" t="s">
        <v>26</v>
      </c>
      <c r="D355" s="44" t="s">
        <v>10</v>
      </c>
      <c r="E355" s="32">
        <v>966</v>
      </c>
    </row>
    <row r="356" spans="2:5" x14ac:dyDescent="0.25">
      <c r="B356" s="31">
        <v>354</v>
      </c>
      <c r="C356" s="44" t="s">
        <v>27</v>
      </c>
      <c r="D356" s="44" t="s">
        <v>8</v>
      </c>
      <c r="E356" s="32">
        <v>1073</v>
      </c>
    </row>
    <row r="357" spans="2:5" x14ac:dyDescent="0.25">
      <c r="B357" s="31">
        <v>355</v>
      </c>
      <c r="C357" s="44" t="s">
        <v>25</v>
      </c>
      <c r="D357" s="44" t="s">
        <v>8</v>
      </c>
      <c r="E357" s="32">
        <v>949</v>
      </c>
    </row>
    <row r="358" spans="2:5" x14ac:dyDescent="0.25">
      <c r="B358" s="31">
        <v>356</v>
      </c>
      <c r="C358" s="44" t="s">
        <v>26</v>
      </c>
      <c r="D358" s="44" t="s">
        <v>10</v>
      </c>
      <c r="E358" s="32">
        <v>963</v>
      </c>
    </row>
    <row r="359" spans="2:5" x14ac:dyDescent="0.25">
      <c r="B359" s="31">
        <v>357</v>
      </c>
      <c r="C359" s="44" t="s">
        <v>26</v>
      </c>
      <c r="D359" s="44" t="s">
        <v>8</v>
      </c>
      <c r="E359" s="32">
        <v>788</v>
      </c>
    </row>
    <row r="360" spans="2:5" x14ac:dyDescent="0.25">
      <c r="B360" s="31">
        <v>358</v>
      </c>
      <c r="C360" s="44" t="s">
        <v>25</v>
      </c>
      <c r="D360" s="44" t="s">
        <v>4</v>
      </c>
      <c r="E360" s="32">
        <v>369</v>
      </c>
    </row>
    <row r="361" spans="2:5" x14ac:dyDescent="0.25">
      <c r="B361" s="31">
        <v>359</v>
      </c>
      <c r="C361" s="44" t="s">
        <v>25</v>
      </c>
      <c r="D361" s="44" t="s">
        <v>4</v>
      </c>
      <c r="E361" s="32">
        <v>351</v>
      </c>
    </row>
    <row r="362" spans="2:5" x14ac:dyDescent="0.25">
      <c r="B362" s="31">
        <v>360</v>
      </c>
      <c r="C362" s="44" t="s">
        <v>27</v>
      </c>
      <c r="D362" s="44" t="s">
        <v>6</v>
      </c>
      <c r="E362" s="32">
        <v>415</v>
      </c>
    </row>
    <row r="363" spans="2:5" x14ac:dyDescent="0.25">
      <c r="B363" s="31">
        <v>361</v>
      </c>
      <c r="C363" s="44" t="s">
        <v>23</v>
      </c>
      <c r="D363" s="44" t="s">
        <v>8</v>
      </c>
      <c r="E363" s="32">
        <v>1160</v>
      </c>
    </row>
    <row r="364" spans="2:5" x14ac:dyDescent="0.25">
      <c r="B364" s="31">
        <v>362</v>
      </c>
      <c r="C364" s="44" t="s">
        <v>27</v>
      </c>
      <c r="D364" s="44" t="s">
        <v>8</v>
      </c>
      <c r="E364" s="32">
        <v>844</v>
      </c>
    </row>
    <row r="365" spans="2:5" x14ac:dyDescent="0.25">
      <c r="B365" s="31">
        <v>363</v>
      </c>
      <c r="C365" s="44" t="s">
        <v>25</v>
      </c>
      <c r="D365" s="44" t="s">
        <v>3</v>
      </c>
      <c r="E365" s="32">
        <v>916</v>
      </c>
    </row>
    <row r="366" spans="2:5" x14ac:dyDescent="0.25">
      <c r="B366" s="31">
        <v>364</v>
      </c>
      <c r="C366" s="44" t="s">
        <v>27</v>
      </c>
      <c r="D366" s="44" t="s">
        <v>6</v>
      </c>
      <c r="E366" s="32">
        <v>763</v>
      </c>
    </row>
    <row r="367" spans="2:5" x14ac:dyDescent="0.25">
      <c r="B367" s="31">
        <v>365</v>
      </c>
      <c r="C367" s="44" t="s">
        <v>23</v>
      </c>
      <c r="D367" s="44" t="s">
        <v>9</v>
      </c>
      <c r="E367" s="32">
        <v>690</v>
      </c>
    </row>
    <row r="368" spans="2:5" x14ac:dyDescent="0.25">
      <c r="B368" s="31">
        <v>366</v>
      </c>
      <c r="C368" s="44" t="s">
        <v>25</v>
      </c>
      <c r="D368" s="44" t="s">
        <v>3</v>
      </c>
      <c r="E368" s="32">
        <v>939</v>
      </c>
    </row>
    <row r="369" spans="2:5" x14ac:dyDescent="0.25">
      <c r="B369" s="31">
        <v>367</v>
      </c>
      <c r="C369" s="44" t="s">
        <v>25</v>
      </c>
      <c r="D369" s="44" t="s">
        <v>10</v>
      </c>
      <c r="E369" s="32">
        <v>510</v>
      </c>
    </row>
    <row r="370" spans="2:5" x14ac:dyDescent="0.25">
      <c r="B370" s="31">
        <v>368</v>
      </c>
      <c r="C370" s="44" t="s">
        <v>25</v>
      </c>
      <c r="D370" s="44" t="s">
        <v>3</v>
      </c>
      <c r="E370" s="32">
        <v>470</v>
      </c>
    </row>
    <row r="371" spans="2:5" x14ac:dyDescent="0.25">
      <c r="B371" s="31">
        <v>369</v>
      </c>
      <c r="C371" s="44" t="s">
        <v>27</v>
      </c>
      <c r="D371" s="44" t="s">
        <v>6</v>
      </c>
      <c r="E371" s="32">
        <v>759</v>
      </c>
    </row>
    <row r="372" spans="2:5" x14ac:dyDescent="0.25">
      <c r="B372" s="31">
        <v>370</v>
      </c>
      <c r="C372" s="44" t="s">
        <v>24</v>
      </c>
      <c r="D372" s="44" t="s">
        <v>10</v>
      </c>
      <c r="E372" s="32">
        <v>863</v>
      </c>
    </row>
    <row r="373" spans="2:5" x14ac:dyDescent="0.25">
      <c r="B373" s="31">
        <v>371</v>
      </c>
      <c r="C373" s="44" t="s">
        <v>25</v>
      </c>
      <c r="D373" s="44" t="s">
        <v>8</v>
      </c>
      <c r="E373" s="32">
        <v>428</v>
      </c>
    </row>
    <row r="374" spans="2:5" x14ac:dyDescent="0.25">
      <c r="B374" s="31">
        <v>372</v>
      </c>
      <c r="C374" s="44" t="s">
        <v>27</v>
      </c>
      <c r="D374" s="44" t="s">
        <v>10</v>
      </c>
      <c r="E374" s="32">
        <v>331</v>
      </c>
    </row>
    <row r="375" spans="2:5" x14ac:dyDescent="0.25">
      <c r="B375" s="31">
        <v>373</v>
      </c>
      <c r="C375" s="44" t="s">
        <v>23</v>
      </c>
      <c r="D375" s="44" t="s">
        <v>6</v>
      </c>
      <c r="E375" s="32">
        <v>415</v>
      </c>
    </row>
    <row r="376" spans="2:5" x14ac:dyDescent="0.25">
      <c r="B376" s="31">
        <v>374</v>
      </c>
      <c r="C376" s="44" t="s">
        <v>25</v>
      </c>
      <c r="D376" s="44" t="s">
        <v>10</v>
      </c>
      <c r="E376" s="32">
        <v>979</v>
      </c>
    </row>
    <row r="377" spans="2:5" x14ac:dyDescent="0.25">
      <c r="B377" s="31">
        <v>375</v>
      </c>
      <c r="C377" s="44" t="s">
        <v>27</v>
      </c>
      <c r="D377" s="44" t="s">
        <v>4</v>
      </c>
      <c r="E377" s="32">
        <v>363</v>
      </c>
    </row>
    <row r="378" spans="2:5" x14ac:dyDescent="0.25">
      <c r="B378" s="31">
        <v>376</v>
      </c>
      <c r="C378" s="44" t="s">
        <v>24</v>
      </c>
      <c r="D378" s="44" t="s">
        <v>4</v>
      </c>
      <c r="E378" s="32">
        <v>639</v>
      </c>
    </row>
    <row r="379" spans="2:5" x14ac:dyDescent="0.25">
      <c r="B379" s="31">
        <v>377</v>
      </c>
      <c r="C379" s="44" t="s">
        <v>25</v>
      </c>
      <c r="D379" s="44" t="s">
        <v>3</v>
      </c>
      <c r="E379" s="32">
        <v>948</v>
      </c>
    </row>
    <row r="380" spans="2:5" x14ac:dyDescent="0.25">
      <c r="B380" s="31">
        <v>378</v>
      </c>
      <c r="C380" s="44" t="s">
        <v>23</v>
      </c>
      <c r="D380" s="44" t="s">
        <v>2</v>
      </c>
      <c r="E380" s="32">
        <v>463</v>
      </c>
    </row>
    <row r="381" spans="2:5" x14ac:dyDescent="0.25">
      <c r="B381" s="31">
        <v>379</v>
      </c>
      <c r="C381" s="44" t="s">
        <v>23</v>
      </c>
      <c r="D381" s="44" t="s">
        <v>6</v>
      </c>
      <c r="E381" s="32">
        <v>909</v>
      </c>
    </row>
    <row r="382" spans="2:5" x14ac:dyDescent="0.25">
      <c r="B382" s="31">
        <v>380</v>
      </c>
      <c r="C382" s="44" t="s">
        <v>27</v>
      </c>
      <c r="D382" s="44" t="s">
        <v>3</v>
      </c>
      <c r="E382" s="32">
        <v>480</v>
      </c>
    </row>
    <row r="383" spans="2:5" x14ac:dyDescent="0.25">
      <c r="B383" s="31">
        <v>381</v>
      </c>
      <c r="C383" s="44" t="s">
        <v>26</v>
      </c>
      <c r="D383" s="44" t="s">
        <v>3</v>
      </c>
      <c r="E383" s="32">
        <v>614</v>
      </c>
    </row>
    <row r="384" spans="2:5" x14ac:dyDescent="0.25">
      <c r="B384" s="31">
        <v>382</v>
      </c>
      <c r="C384" s="44" t="s">
        <v>27</v>
      </c>
      <c r="D384" s="44" t="s">
        <v>9</v>
      </c>
      <c r="E384" s="32">
        <v>1163</v>
      </c>
    </row>
    <row r="385" spans="2:5" x14ac:dyDescent="0.25">
      <c r="B385" s="31">
        <v>383</v>
      </c>
      <c r="C385" s="44" t="s">
        <v>23</v>
      </c>
      <c r="D385" s="44" t="s">
        <v>6</v>
      </c>
      <c r="E385" s="32">
        <v>467</v>
      </c>
    </row>
    <row r="386" spans="2:5" x14ac:dyDescent="0.25">
      <c r="B386" s="31">
        <v>384</v>
      </c>
      <c r="C386" s="44" t="s">
        <v>23</v>
      </c>
      <c r="D386" s="44" t="s">
        <v>9</v>
      </c>
      <c r="E386" s="32">
        <v>1191</v>
      </c>
    </row>
    <row r="387" spans="2:5" x14ac:dyDescent="0.25">
      <c r="B387" s="31">
        <v>385</v>
      </c>
      <c r="C387" s="44" t="s">
        <v>25</v>
      </c>
      <c r="D387" s="44" t="s">
        <v>3</v>
      </c>
      <c r="E387" s="32">
        <v>535</v>
      </c>
    </row>
    <row r="388" spans="2:5" x14ac:dyDescent="0.25">
      <c r="B388" s="31">
        <v>386</v>
      </c>
      <c r="C388" s="44" t="s">
        <v>26</v>
      </c>
      <c r="D388" s="44" t="s">
        <v>8</v>
      </c>
      <c r="E388" s="32">
        <v>1093</v>
      </c>
    </row>
    <row r="389" spans="2:5" x14ac:dyDescent="0.25">
      <c r="B389" s="31">
        <v>387</v>
      </c>
      <c r="C389" s="44" t="s">
        <v>27</v>
      </c>
      <c r="D389" s="44" t="s">
        <v>10</v>
      </c>
      <c r="E389" s="32">
        <v>323</v>
      </c>
    </row>
    <row r="390" spans="2:5" x14ac:dyDescent="0.25">
      <c r="B390" s="31">
        <v>388</v>
      </c>
      <c r="C390" s="44" t="s">
        <v>23</v>
      </c>
      <c r="D390" s="44" t="s">
        <v>10</v>
      </c>
      <c r="E390" s="32">
        <v>354</v>
      </c>
    </row>
    <row r="391" spans="2:5" x14ac:dyDescent="0.25">
      <c r="B391" s="31">
        <v>389</v>
      </c>
      <c r="C391" s="44" t="s">
        <v>25</v>
      </c>
      <c r="D391" s="44" t="s">
        <v>3</v>
      </c>
      <c r="E391" s="32">
        <v>436</v>
      </c>
    </row>
    <row r="392" spans="2:5" x14ac:dyDescent="0.25">
      <c r="B392" s="31">
        <v>390</v>
      </c>
      <c r="C392" s="44" t="s">
        <v>23</v>
      </c>
      <c r="D392" s="44" t="s">
        <v>10</v>
      </c>
      <c r="E392" s="32">
        <v>1200</v>
      </c>
    </row>
    <row r="393" spans="2:5" x14ac:dyDescent="0.25">
      <c r="B393" s="31">
        <v>391</v>
      </c>
      <c r="C393" s="44" t="s">
        <v>26</v>
      </c>
      <c r="D393" s="44" t="s">
        <v>3</v>
      </c>
      <c r="E393" s="32">
        <v>432</v>
      </c>
    </row>
    <row r="394" spans="2:5" x14ac:dyDescent="0.25">
      <c r="B394" s="31">
        <v>392</v>
      </c>
      <c r="C394" s="44" t="s">
        <v>26</v>
      </c>
      <c r="D394" s="44" t="s">
        <v>4</v>
      </c>
      <c r="E394" s="32">
        <v>1094</v>
      </c>
    </row>
    <row r="395" spans="2:5" x14ac:dyDescent="0.25">
      <c r="B395" s="31">
        <v>393</v>
      </c>
      <c r="C395" s="44" t="s">
        <v>27</v>
      </c>
      <c r="D395" s="44" t="s">
        <v>7</v>
      </c>
      <c r="E395" s="32">
        <v>584</v>
      </c>
    </row>
    <row r="396" spans="2:5" x14ac:dyDescent="0.25">
      <c r="B396" s="31">
        <v>394</v>
      </c>
      <c r="C396" s="44" t="s">
        <v>26</v>
      </c>
      <c r="D396" s="44" t="s">
        <v>9</v>
      </c>
      <c r="E396" s="32">
        <v>760</v>
      </c>
    </row>
    <row r="397" spans="2:5" x14ac:dyDescent="0.25">
      <c r="B397" s="31">
        <v>395</v>
      </c>
      <c r="C397" s="44" t="s">
        <v>23</v>
      </c>
      <c r="D397" s="44" t="s">
        <v>10</v>
      </c>
      <c r="E397" s="32">
        <v>724</v>
      </c>
    </row>
    <row r="398" spans="2:5" x14ac:dyDescent="0.25">
      <c r="B398" s="31">
        <v>396</v>
      </c>
      <c r="C398" s="44" t="s">
        <v>23</v>
      </c>
      <c r="D398" s="44" t="s">
        <v>2</v>
      </c>
      <c r="E398" s="32">
        <v>739</v>
      </c>
    </row>
    <row r="399" spans="2:5" x14ac:dyDescent="0.25">
      <c r="B399" s="31">
        <v>397</v>
      </c>
      <c r="C399" s="44" t="s">
        <v>26</v>
      </c>
      <c r="D399" s="44" t="s">
        <v>4</v>
      </c>
      <c r="E399" s="32">
        <v>356</v>
      </c>
    </row>
    <row r="400" spans="2:5" x14ac:dyDescent="0.25">
      <c r="B400" s="31">
        <v>398</v>
      </c>
      <c r="C400" s="44" t="s">
        <v>27</v>
      </c>
      <c r="D400" s="44" t="s">
        <v>9</v>
      </c>
      <c r="E400" s="32">
        <v>533</v>
      </c>
    </row>
    <row r="401" spans="2:5" x14ac:dyDescent="0.25">
      <c r="B401" s="31">
        <v>399</v>
      </c>
      <c r="C401" s="44" t="s">
        <v>26</v>
      </c>
      <c r="D401" s="44" t="s">
        <v>3</v>
      </c>
      <c r="E401" s="32">
        <v>603</v>
      </c>
    </row>
    <row r="402" spans="2:5" x14ac:dyDescent="0.25">
      <c r="B402" s="31">
        <v>400</v>
      </c>
      <c r="C402" s="44" t="s">
        <v>25</v>
      </c>
      <c r="D402" s="44" t="s">
        <v>3</v>
      </c>
      <c r="E402" s="32">
        <v>362</v>
      </c>
    </row>
    <row r="403" spans="2:5" x14ac:dyDescent="0.25">
      <c r="B403" s="31">
        <v>401</v>
      </c>
      <c r="C403" s="44" t="s">
        <v>26</v>
      </c>
      <c r="D403" s="44" t="s">
        <v>2</v>
      </c>
      <c r="E403" s="32">
        <v>405</v>
      </c>
    </row>
    <row r="404" spans="2:5" x14ac:dyDescent="0.25">
      <c r="B404" s="31">
        <v>402</v>
      </c>
      <c r="C404" s="44" t="s">
        <v>27</v>
      </c>
      <c r="D404" s="44" t="s">
        <v>7</v>
      </c>
      <c r="E404" s="32">
        <v>681</v>
      </c>
    </row>
    <row r="405" spans="2:5" x14ac:dyDescent="0.25">
      <c r="B405" s="31">
        <v>403</v>
      </c>
      <c r="C405" s="44" t="s">
        <v>26</v>
      </c>
      <c r="D405" s="44" t="s">
        <v>2</v>
      </c>
      <c r="E405" s="32">
        <v>600</v>
      </c>
    </row>
    <row r="406" spans="2:5" x14ac:dyDescent="0.25">
      <c r="B406" s="31">
        <v>404</v>
      </c>
      <c r="C406" s="44" t="s">
        <v>23</v>
      </c>
      <c r="D406" s="44" t="s">
        <v>4</v>
      </c>
      <c r="E406" s="32">
        <v>560</v>
      </c>
    </row>
    <row r="407" spans="2:5" x14ac:dyDescent="0.25">
      <c r="B407" s="31">
        <v>405</v>
      </c>
      <c r="C407" s="44" t="s">
        <v>27</v>
      </c>
      <c r="D407" s="44" t="s">
        <v>8</v>
      </c>
      <c r="E407" s="32">
        <v>926</v>
      </c>
    </row>
    <row r="408" spans="2:5" x14ac:dyDescent="0.25">
      <c r="B408" s="31">
        <v>406</v>
      </c>
      <c r="C408" s="44" t="s">
        <v>25</v>
      </c>
      <c r="D408" s="44" t="s">
        <v>8</v>
      </c>
      <c r="E408" s="32">
        <v>568</v>
      </c>
    </row>
    <row r="409" spans="2:5" x14ac:dyDescent="0.25">
      <c r="B409" s="31">
        <v>407</v>
      </c>
      <c r="C409" s="44" t="s">
        <v>23</v>
      </c>
      <c r="D409" s="44" t="s">
        <v>2</v>
      </c>
      <c r="E409" s="32">
        <v>925</v>
      </c>
    </row>
    <row r="410" spans="2:5" x14ac:dyDescent="0.25">
      <c r="B410" s="31">
        <v>408</v>
      </c>
      <c r="C410" s="44" t="s">
        <v>25</v>
      </c>
      <c r="D410" s="44" t="s">
        <v>2</v>
      </c>
      <c r="E410" s="32">
        <v>1185</v>
      </c>
    </row>
    <row r="411" spans="2:5" x14ac:dyDescent="0.25">
      <c r="B411" s="31">
        <v>409</v>
      </c>
      <c r="C411" s="44" t="s">
        <v>24</v>
      </c>
      <c r="D411" s="44" t="s">
        <v>7</v>
      </c>
      <c r="E411" s="32">
        <v>1049</v>
      </c>
    </row>
    <row r="412" spans="2:5" x14ac:dyDescent="0.25">
      <c r="B412" s="31">
        <v>410</v>
      </c>
      <c r="C412" s="44" t="s">
        <v>27</v>
      </c>
      <c r="D412" s="44" t="s">
        <v>9</v>
      </c>
      <c r="E412" s="32">
        <v>499</v>
      </c>
    </row>
    <row r="413" spans="2:5" x14ac:dyDescent="0.25">
      <c r="B413" s="31">
        <v>411</v>
      </c>
      <c r="C413" s="44" t="s">
        <v>25</v>
      </c>
      <c r="D413" s="44" t="s">
        <v>4</v>
      </c>
      <c r="E413" s="32">
        <v>385</v>
      </c>
    </row>
    <row r="414" spans="2:5" x14ac:dyDescent="0.25">
      <c r="B414" s="31">
        <v>412</v>
      </c>
      <c r="C414" s="44" t="s">
        <v>23</v>
      </c>
      <c r="D414" s="44" t="s">
        <v>10</v>
      </c>
      <c r="E414" s="32">
        <v>399</v>
      </c>
    </row>
    <row r="415" spans="2:5" x14ac:dyDescent="0.25">
      <c r="B415" s="31">
        <v>413</v>
      </c>
      <c r="C415" s="44" t="s">
        <v>23</v>
      </c>
      <c r="D415" s="44" t="s">
        <v>6</v>
      </c>
      <c r="E415" s="32">
        <v>567</v>
      </c>
    </row>
    <row r="416" spans="2:5" x14ac:dyDescent="0.25">
      <c r="B416" s="31">
        <v>414</v>
      </c>
      <c r="C416" s="44" t="s">
        <v>27</v>
      </c>
      <c r="D416" s="44" t="s">
        <v>9</v>
      </c>
      <c r="E416" s="32">
        <v>694</v>
      </c>
    </row>
    <row r="417" spans="2:5" x14ac:dyDescent="0.25">
      <c r="B417" s="31">
        <v>415</v>
      </c>
      <c r="C417" s="44" t="s">
        <v>24</v>
      </c>
      <c r="D417" s="44" t="s">
        <v>3</v>
      </c>
      <c r="E417" s="32">
        <v>1134</v>
      </c>
    </row>
    <row r="418" spans="2:5" x14ac:dyDescent="0.25">
      <c r="B418" s="31">
        <v>416</v>
      </c>
      <c r="C418" s="44" t="s">
        <v>23</v>
      </c>
      <c r="D418" s="44" t="s">
        <v>8</v>
      </c>
      <c r="E418" s="32">
        <v>432</v>
      </c>
    </row>
    <row r="419" spans="2:5" x14ac:dyDescent="0.25">
      <c r="B419" s="31">
        <v>417</v>
      </c>
      <c r="C419" s="44" t="s">
        <v>23</v>
      </c>
      <c r="D419" s="44" t="s">
        <v>7</v>
      </c>
      <c r="E419" s="32">
        <v>344</v>
      </c>
    </row>
    <row r="420" spans="2:5" x14ac:dyDescent="0.25">
      <c r="B420" s="31">
        <v>418</v>
      </c>
      <c r="C420" s="44" t="s">
        <v>27</v>
      </c>
      <c r="D420" s="44" t="s">
        <v>2</v>
      </c>
      <c r="E420" s="32">
        <v>1012</v>
      </c>
    </row>
    <row r="421" spans="2:5" x14ac:dyDescent="0.25">
      <c r="B421" s="31">
        <v>419</v>
      </c>
      <c r="C421" s="44" t="s">
        <v>24</v>
      </c>
      <c r="D421" s="44" t="s">
        <v>4</v>
      </c>
      <c r="E421" s="32">
        <v>1207</v>
      </c>
    </row>
    <row r="422" spans="2:5" x14ac:dyDescent="0.25">
      <c r="B422" s="31">
        <v>420</v>
      </c>
      <c r="C422" s="44" t="s">
        <v>24</v>
      </c>
      <c r="D422" s="44" t="s">
        <v>4</v>
      </c>
      <c r="E422" s="32">
        <v>836</v>
      </c>
    </row>
    <row r="423" spans="2:5" x14ac:dyDescent="0.25">
      <c r="B423" s="31">
        <v>421</v>
      </c>
      <c r="C423" s="44" t="s">
        <v>25</v>
      </c>
      <c r="D423" s="44" t="s">
        <v>7</v>
      </c>
      <c r="E423" s="32">
        <v>370</v>
      </c>
    </row>
    <row r="424" spans="2:5" x14ac:dyDescent="0.25">
      <c r="B424" s="31">
        <v>422</v>
      </c>
      <c r="C424" s="44" t="s">
        <v>27</v>
      </c>
      <c r="D424" s="44" t="s">
        <v>6</v>
      </c>
      <c r="E424" s="32">
        <v>781</v>
      </c>
    </row>
    <row r="425" spans="2:5" x14ac:dyDescent="0.25">
      <c r="B425" s="31">
        <v>423</v>
      </c>
      <c r="C425" s="44" t="s">
        <v>25</v>
      </c>
      <c r="D425" s="44" t="s">
        <v>3</v>
      </c>
      <c r="E425" s="32">
        <v>387</v>
      </c>
    </row>
    <row r="426" spans="2:5" x14ac:dyDescent="0.25">
      <c r="B426" s="31">
        <v>424</v>
      </c>
      <c r="C426" s="44" t="s">
        <v>25</v>
      </c>
      <c r="D426" s="44" t="s">
        <v>6</v>
      </c>
      <c r="E426" s="32">
        <v>692</v>
      </c>
    </row>
    <row r="427" spans="2:5" x14ac:dyDescent="0.25">
      <c r="B427" s="31">
        <v>425</v>
      </c>
      <c r="C427" s="44" t="s">
        <v>26</v>
      </c>
      <c r="D427" s="44" t="s">
        <v>10</v>
      </c>
      <c r="E427" s="32">
        <v>978</v>
      </c>
    </row>
    <row r="428" spans="2:5" x14ac:dyDescent="0.25">
      <c r="B428" s="31">
        <v>426</v>
      </c>
      <c r="C428" s="44" t="s">
        <v>27</v>
      </c>
      <c r="D428" s="44" t="s">
        <v>2</v>
      </c>
      <c r="E428" s="32">
        <v>671</v>
      </c>
    </row>
    <row r="429" spans="2:5" x14ac:dyDescent="0.25">
      <c r="B429" s="31">
        <v>427</v>
      </c>
      <c r="C429" s="44" t="s">
        <v>26</v>
      </c>
      <c r="D429" s="44" t="s">
        <v>2</v>
      </c>
      <c r="E429" s="32">
        <v>958</v>
      </c>
    </row>
    <row r="430" spans="2:5" x14ac:dyDescent="0.25">
      <c r="B430" s="31">
        <v>428</v>
      </c>
      <c r="C430" s="44" t="s">
        <v>24</v>
      </c>
      <c r="D430" s="44" t="s">
        <v>6</v>
      </c>
      <c r="E430" s="32">
        <v>1039</v>
      </c>
    </row>
    <row r="431" spans="2:5" x14ac:dyDescent="0.25">
      <c r="B431" s="31">
        <v>429</v>
      </c>
      <c r="C431" s="44" t="s">
        <v>23</v>
      </c>
      <c r="D431" s="44" t="s">
        <v>10</v>
      </c>
      <c r="E431" s="32">
        <v>1080</v>
      </c>
    </row>
    <row r="432" spans="2:5" x14ac:dyDescent="0.25">
      <c r="B432" s="31">
        <v>430</v>
      </c>
      <c r="C432" s="44" t="s">
        <v>26</v>
      </c>
      <c r="D432" s="44" t="s">
        <v>2</v>
      </c>
      <c r="E432" s="32">
        <v>1111</v>
      </c>
    </row>
    <row r="433" spans="2:5" x14ac:dyDescent="0.25">
      <c r="B433" s="31">
        <v>431</v>
      </c>
      <c r="C433" s="44" t="s">
        <v>23</v>
      </c>
      <c r="D433" s="44" t="s">
        <v>8</v>
      </c>
      <c r="E433" s="32">
        <v>713</v>
      </c>
    </row>
    <row r="434" spans="2:5" x14ac:dyDescent="0.25">
      <c r="B434" s="31">
        <v>432</v>
      </c>
      <c r="C434" s="44" t="s">
        <v>24</v>
      </c>
      <c r="D434" s="44" t="s">
        <v>8</v>
      </c>
      <c r="E434" s="32">
        <v>761</v>
      </c>
    </row>
    <row r="435" spans="2:5" x14ac:dyDescent="0.25">
      <c r="B435" s="31">
        <v>433</v>
      </c>
      <c r="C435" s="44" t="s">
        <v>27</v>
      </c>
      <c r="D435" s="44" t="s">
        <v>8</v>
      </c>
      <c r="E435" s="32">
        <v>336</v>
      </c>
    </row>
    <row r="436" spans="2:5" x14ac:dyDescent="0.25">
      <c r="B436" s="31">
        <v>434</v>
      </c>
      <c r="C436" s="44" t="s">
        <v>27</v>
      </c>
      <c r="D436" s="44" t="s">
        <v>10</v>
      </c>
      <c r="E436" s="32">
        <v>849</v>
      </c>
    </row>
    <row r="437" spans="2:5" x14ac:dyDescent="0.25">
      <c r="B437" s="31">
        <v>435</v>
      </c>
      <c r="C437" s="44" t="s">
        <v>25</v>
      </c>
      <c r="D437" s="44" t="s">
        <v>3</v>
      </c>
      <c r="E437" s="32">
        <v>347</v>
      </c>
    </row>
    <row r="438" spans="2:5" x14ac:dyDescent="0.25">
      <c r="B438" s="31">
        <v>436</v>
      </c>
      <c r="C438" s="44" t="s">
        <v>24</v>
      </c>
      <c r="D438" s="44" t="s">
        <v>9</v>
      </c>
      <c r="E438" s="32">
        <v>514</v>
      </c>
    </row>
    <row r="439" spans="2:5" x14ac:dyDescent="0.25">
      <c r="B439" s="31">
        <v>437</v>
      </c>
      <c r="C439" s="44" t="s">
        <v>26</v>
      </c>
      <c r="D439" s="44" t="s">
        <v>2</v>
      </c>
      <c r="E439" s="32">
        <v>577</v>
      </c>
    </row>
    <row r="440" spans="2:5" x14ac:dyDescent="0.25">
      <c r="B440" s="31">
        <v>438</v>
      </c>
      <c r="C440" s="44" t="s">
        <v>25</v>
      </c>
      <c r="D440" s="44" t="s">
        <v>4</v>
      </c>
      <c r="E440" s="32">
        <v>743</v>
      </c>
    </row>
    <row r="441" spans="2:5" x14ac:dyDescent="0.25">
      <c r="B441" s="31">
        <v>439</v>
      </c>
      <c r="C441" s="44" t="s">
        <v>27</v>
      </c>
      <c r="D441" s="44" t="s">
        <v>7</v>
      </c>
      <c r="E441" s="32">
        <v>470</v>
      </c>
    </row>
    <row r="442" spans="2:5" x14ac:dyDescent="0.25">
      <c r="B442" s="31">
        <v>440</v>
      </c>
      <c r="C442" s="44" t="s">
        <v>23</v>
      </c>
      <c r="D442" s="44" t="s">
        <v>2</v>
      </c>
      <c r="E442" s="32">
        <v>500</v>
      </c>
    </row>
    <row r="443" spans="2:5" x14ac:dyDescent="0.25">
      <c r="B443" s="31">
        <v>441</v>
      </c>
      <c r="C443" s="44" t="s">
        <v>23</v>
      </c>
      <c r="D443" s="44" t="s">
        <v>2</v>
      </c>
      <c r="E443" s="32">
        <v>1075</v>
      </c>
    </row>
    <row r="444" spans="2:5" x14ac:dyDescent="0.25">
      <c r="B444" s="31">
        <v>442</v>
      </c>
      <c r="C444" s="44" t="s">
        <v>25</v>
      </c>
      <c r="D444" s="44" t="s">
        <v>8</v>
      </c>
      <c r="E444" s="32">
        <v>1071</v>
      </c>
    </row>
    <row r="445" spans="2:5" x14ac:dyDescent="0.25">
      <c r="B445" s="31">
        <v>443</v>
      </c>
      <c r="C445" s="44" t="s">
        <v>27</v>
      </c>
      <c r="D445" s="44" t="s">
        <v>10</v>
      </c>
      <c r="E445" s="32">
        <v>775</v>
      </c>
    </row>
    <row r="446" spans="2:5" x14ac:dyDescent="0.25">
      <c r="B446" s="31">
        <v>444</v>
      </c>
      <c r="C446" s="44" t="s">
        <v>26</v>
      </c>
      <c r="D446" s="44" t="s">
        <v>4</v>
      </c>
      <c r="E446" s="32">
        <v>976</v>
      </c>
    </row>
    <row r="447" spans="2:5" x14ac:dyDescent="0.25">
      <c r="B447" s="31">
        <v>445</v>
      </c>
      <c r="C447" s="44" t="s">
        <v>25</v>
      </c>
      <c r="D447" s="44" t="s">
        <v>2</v>
      </c>
      <c r="E447" s="32">
        <v>869</v>
      </c>
    </row>
    <row r="448" spans="2:5" x14ac:dyDescent="0.25">
      <c r="B448" s="31">
        <v>446</v>
      </c>
      <c r="C448" s="44" t="s">
        <v>24</v>
      </c>
      <c r="D448" s="44" t="s">
        <v>6</v>
      </c>
      <c r="E448" s="32">
        <v>396</v>
      </c>
    </row>
    <row r="449" spans="2:5" x14ac:dyDescent="0.25">
      <c r="B449" s="31">
        <v>447</v>
      </c>
      <c r="C449" s="44" t="s">
        <v>24</v>
      </c>
      <c r="D449" s="44" t="s">
        <v>7</v>
      </c>
      <c r="E449" s="32">
        <v>714</v>
      </c>
    </row>
    <row r="450" spans="2:5" x14ac:dyDescent="0.25">
      <c r="B450" s="31">
        <v>448</v>
      </c>
      <c r="C450" s="44" t="s">
        <v>25</v>
      </c>
      <c r="D450" s="44" t="s">
        <v>2</v>
      </c>
      <c r="E450" s="32">
        <v>449</v>
      </c>
    </row>
    <row r="451" spans="2:5" x14ac:dyDescent="0.25">
      <c r="B451" s="31">
        <v>449</v>
      </c>
      <c r="C451" s="44" t="s">
        <v>25</v>
      </c>
      <c r="D451" s="44" t="s">
        <v>3</v>
      </c>
      <c r="E451" s="32">
        <v>424</v>
      </c>
    </row>
    <row r="452" spans="2:5" x14ac:dyDescent="0.25">
      <c r="B452" s="31">
        <v>450</v>
      </c>
      <c r="C452" s="44" t="s">
        <v>25</v>
      </c>
      <c r="D452" s="44" t="s">
        <v>7</v>
      </c>
      <c r="E452" s="32">
        <v>524</v>
      </c>
    </row>
    <row r="453" spans="2:5" x14ac:dyDescent="0.25">
      <c r="B453" s="31">
        <v>451</v>
      </c>
      <c r="C453" s="44" t="s">
        <v>25</v>
      </c>
      <c r="D453" s="44" t="s">
        <v>4</v>
      </c>
      <c r="E453" s="32">
        <v>637</v>
      </c>
    </row>
    <row r="454" spans="2:5" x14ac:dyDescent="0.25">
      <c r="B454" s="31">
        <v>452</v>
      </c>
      <c r="C454" s="44" t="s">
        <v>24</v>
      </c>
      <c r="D454" s="44" t="s">
        <v>8</v>
      </c>
      <c r="E454" s="32">
        <v>645</v>
      </c>
    </row>
    <row r="455" spans="2:5" x14ac:dyDescent="0.25">
      <c r="B455" s="31">
        <v>453</v>
      </c>
      <c r="C455" s="44" t="s">
        <v>24</v>
      </c>
      <c r="D455" s="44" t="s">
        <v>10</v>
      </c>
      <c r="E455" s="32">
        <v>794</v>
      </c>
    </row>
    <row r="456" spans="2:5" x14ac:dyDescent="0.25">
      <c r="B456" s="31">
        <v>454</v>
      </c>
      <c r="C456" s="44" t="s">
        <v>27</v>
      </c>
      <c r="D456" s="44" t="s">
        <v>6</v>
      </c>
      <c r="E456" s="32">
        <v>977</v>
      </c>
    </row>
    <row r="457" spans="2:5" x14ac:dyDescent="0.25">
      <c r="B457" s="31">
        <v>455</v>
      </c>
      <c r="C457" s="44" t="s">
        <v>26</v>
      </c>
      <c r="D457" s="44" t="s">
        <v>9</v>
      </c>
      <c r="E457" s="32">
        <v>336</v>
      </c>
    </row>
    <row r="458" spans="2:5" x14ac:dyDescent="0.25">
      <c r="B458" s="31">
        <v>456</v>
      </c>
      <c r="C458" s="44" t="s">
        <v>23</v>
      </c>
      <c r="D458" s="44" t="s">
        <v>7</v>
      </c>
      <c r="E458" s="32">
        <v>873</v>
      </c>
    </row>
    <row r="459" spans="2:5" x14ac:dyDescent="0.25">
      <c r="B459" s="31">
        <v>457</v>
      </c>
      <c r="C459" s="44" t="s">
        <v>24</v>
      </c>
      <c r="D459" s="44" t="s">
        <v>7</v>
      </c>
      <c r="E459" s="32">
        <v>749</v>
      </c>
    </row>
    <row r="460" spans="2:5" x14ac:dyDescent="0.25">
      <c r="B460" s="31">
        <v>458</v>
      </c>
      <c r="C460" s="44" t="s">
        <v>24</v>
      </c>
      <c r="D460" s="44" t="s">
        <v>3</v>
      </c>
      <c r="E460" s="32">
        <v>507</v>
      </c>
    </row>
    <row r="461" spans="2:5" x14ac:dyDescent="0.25">
      <c r="B461" s="31">
        <v>459</v>
      </c>
      <c r="C461" s="44" t="s">
        <v>23</v>
      </c>
      <c r="D461" s="44" t="s">
        <v>9</v>
      </c>
      <c r="E461" s="32">
        <v>804</v>
      </c>
    </row>
    <row r="462" spans="2:5" x14ac:dyDescent="0.25">
      <c r="B462" s="31">
        <v>460</v>
      </c>
      <c r="C462" s="44" t="s">
        <v>26</v>
      </c>
      <c r="D462" s="44" t="s">
        <v>6</v>
      </c>
      <c r="E462" s="32">
        <v>425</v>
      </c>
    </row>
    <row r="463" spans="2:5" x14ac:dyDescent="0.25">
      <c r="B463" s="31">
        <v>461</v>
      </c>
      <c r="C463" s="44" t="s">
        <v>26</v>
      </c>
      <c r="D463" s="44" t="s">
        <v>7</v>
      </c>
      <c r="E463" s="32">
        <v>665</v>
      </c>
    </row>
    <row r="464" spans="2:5" x14ac:dyDescent="0.25">
      <c r="B464" s="31">
        <v>462</v>
      </c>
      <c r="C464" s="44" t="s">
        <v>25</v>
      </c>
      <c r="D464" s="44" t="s">
        <v>3</v>
      </c>
      <c r="E464" s="32">
        <v>378</v>
      </c>
    </row>
    <row r="465" spans="2:5" x14ac:dyDescent="0.25">
      <c r="B465" s="31">
        <v>463</v>
      </c>
      <c r="C465" s="44" t="s">
        <v>27</v>
      </c>
      <c r="D465" s="44" t="s">
        <v>7</v>
      </c>
      <c r="E465" s="32">
        <v>377</v>
      </c>
    </row>
    <row r="466" spans="2:5" x14ac:dyDescent="0.25">
      <c r="B466" s="31">
        <v>464</v>
      </c>
      <c r="C466" s="44" t="s">
        <v>23</v>
      </c>
      <c r="D466" s="44" t="s">
        <v>4</v>
      </c>
      <c r="E466" s="32">
        <v>774</v>
      </c>
    </row>
    <row r="467" spans="2:5" x14ac:dyDescent="0.25">
      <c r="B467" s="31">
        <v>465</v>
      </c>
      <c r="C467" s="44" t="s">
        <v>27</v>
      </c>
      <c r="D467" s="44" t="s">
        <v>7</v>
      </c>
      <c r="E467" s="32">
        <v>1082</v>
      </c>
    </row>
    <row r="468" spans="2:5" x14ac:dyDescent="0.25">
      <c r="B468" s="31">
        <v>466</v>
      </c>
      <c r="C468" s="44" t="s">
        <v>25</v>
      </c>
      <c r="D468" s="44" t="s">
        <v>7</v>
      </c>
      <c r="E468" s="32">
        <v>1033</v>
      </c>
    </row>
    <row r="469" spans="2:5" x14ac:dyDescent="0.25">
      <c r="B469" s="31">
        <v>467</v>
      </c>
      <c r="C469" s="44" t="s">
        <v>25</v>
      </c>
      <c r="D469" s="44" t="s">
        <v>7</v>
      </c>
      <c r="E469" s="32">
        <v>1057</v>
      </c>
    </row>
    <row r="470" spans="2:5" x14ac:dyDescent="0.25">
      <c r="B470" s="31">
        <v>468</v>
      </c>
      <c r="C470" s="44" t="s">
        <v>25</v>
      </c>
      <c r="D470" s="44" t="s">
        <v>4</v>
      </c>
      <c r="E470" s="32">
        <v>610</v>
      </c>
    </row>
    <row r="471" spans="2:5" x14ac:dyDescent="0.25">
      <c r="B471" s="31">
        <v>469</v>
      </c>
      <c r="C471" s="44" t="s">
        <v>23</v>
      </c>
      <c r="D471" s="44" t="s">
        <v>7</v>
      </c>
      <c r="E471" s="32">
        <v>664</v>
      </c>
    </row>
    <row r="472" spans="2:5" x14ac:dyDescent="0.25">
      <c r="B472" s="31">
        <v>470</v>
      </c>
      <c r="C472" s="44" t="s">
        <v>26</v>
      </c>
      <c r="D472" s="44" t="s">
        <v>7</v>
      </c>
      <c r="E472" s="32">
        <v>363</v>
      </c>
    </row>
    <row r="473" spans="2:5" x14ac:dyDescent="0.25">
      <c r="B473" s="31">
        <v>471</v>
      </c>
      <c r="C473" s="44" t="s">
        <v>27</v>
      </c>
      <c r="D473" s="44" t="s">
        <v>8</v>
      </c>
      <c r="E473" s="32">
        <v>925</v>
      </c>
    </row>
    <row r="474" spans="2:5" x14ac:dyDescent="0.25">
      <c r="B474" s="31">
        <v>472</v>
      </c>
      <c r="C474" s="44" t="s">
        <v>23</v>
      </c>
      <c r="D474" s="44" t="s">
        <v>9</v>
      </c>
      <c r="E474" s="32">
        <v>938</v>
      </c>
    </row>
    <row r="475" spans="2:5" x14ac:dyDescent="0.25">
      <c r="B475" s="31">
        <v>473</v>
      </c>
      <c r="C475" s="44" t="s">
        <v>24</v>
      </c>
      <c r="D475" s="44" t="s">
        <v>10</v>
      </c>
      <c r="E475" s="32">
        <v>787</v>
      </c>
    </row>
    <row r="476" spans="2:5" x14ac:dyDescent="0.25">
      <c r="B476" s="31">
        <v>474</v>
      </c>
      <c r="C476" s="44" t="s">
        <v>23</v>
      </c>
      <c r="D476" s="44" t="s">
        <v>8</v>
      </c>
      <c r="E476" s="32">
        <v>372</v>
      </c>
    </row>
    <row r="477" spans="2:5" x14ac:dyDescent="0.25">
      <c r="B477" s="31">
        <v>475</v>
      </c>
      <c r="C477" s="44" t="s">
        <v>26</v>
      </c>
      <c r="D477" s="44" t="s">
        <v>10</v>
      </c>
      <c r="E477" s="32">
        <v>1102</v>
      </c>
    </row>
    <row r="478" spans="2:5" x14ac:dyDescent="0.25">
      <c r="B478" s="31">
        <v>476</v>
      </c>
      <c r="C478" s="44" t="s">
        <v>24</v>
      </c>
      <c r="D478" s="44" t="s">
        <v>6</v>
      </c>
      <c r="E478" s="32">
        <v>343</v>
      </c>
    </row>
    <row r="479" spans="2:5" x14ac:dyDescent="0.25">
      <c r="B479" s="31">
        <v>477</v>
      </c>
      <c r="C479" s="44" t="s">
        <v>25</v>
      </c>
      <c r="D479" s="44" t="s">
        <v>4</v>
      </c>
      <c r="E479" s="32">
        <v>518</v>
      </c>
    </row>
    <row r="480" spans="2:5" x14ac:dyDescent="0.25">
      <c r="B480" s="31">
        <v>478</v>
      </c>
      <c r="C480" s="44" t="s">
        <v>23</v>
      </c>
      <c r="D480" s="44" t="s">
        <v>3</v>
      </c>
      <c r="E480" s="32">
        <v>778</v>
      </c>
    </row>
    <row r="481" spans="2:5" x14ac:dyDescent="0.25">
      <c r="B481" s="31">
        <v>479</v>
      </c>
      <c r="C481" s="44" t="s">
        <v>25</v>
      </c>
      <c r="D481" s="44" t="s">
        <v>4</v>
      </c>
      <c r="E481" s="32">
        <v>1196</v>
      </c>
    </row>
    <row r="482" spans="2:5" x14ac:dyDescent="0.25">
      <c r="B482" s="31">
        <v>480</v>
      </c>
      <c r="C482" s="44" t="s">
        <v>25</v>
      </c>
      <c r="D482" s="44" t="s">
        <v>7</v>
      </c>
      <c r="E482" s="32">
        <v>462</v>
      </c>
    </row>
    <row r="483" spans="2:5" x14ac:dyDescent="0.25">
      <c r="B483" s="31">
        <v>481</v>
      </c>
      <c r="C483" s="44" t="s">
        <v>25</v>
      </c>
      <c r="D483" s="44" t="s">
        <v>7</v>
      </c>
      <c r="E483" s="32">
        <v>804</v>
      </c>
    </row>
    <row r="484" spans="2:5" x14ac:dyDescent="0.25">
      <c r="B484" s="31">
        <v>482</v>
      </c>
      <c r="C484" s="44" t="s">
        <v>23</v>
      </c>
      <c r="D484" s="44" t="s">
        <v>7</v>
      </c>
      <c r="E484" s="32">
        <v>432</v>
      </c>
    </row>
    <row r="485" spans="2:5" x14ac:dyDescent="0.25">
      <c r="B485" s="31">
        <v>483</v>
      </c>
      <c r="C485" s="44" t="s">
        <v>23</v>
      </c>
      <c r="D485" s="44" t="s">
        <v>6</v>
      </c>
      <c r="E485" s="32">
        <v>931</v>
      </c>
    </row>
    <row r="486" spans="2:5" x14ac:dyDescent="0.25">
      <c r="B486" s="31">
        <v>484</v>
      </c>
      <c r="C486" s="44" t="s">
        <v>26</v>
      </c>
      <c r="D486" s="44" t="s">
        <v>7</v>
      </c>
      <c r="E486" s="32">
        <v>1072</v>
      </c>
    </row>
    <row r="487" spans="2:5" x14ac:dyDescent="0.25">
      <c r="B487" s="31">
        <v>485</v>
      </c>
      <c r="C487" s="44" t="s">
        <v>24</v>
      </c>
      <c r="D487" s="44" t="s">
        <v>3</v>
      </c>
      <c r="E487" s="32">
        <v>539</v>
      </c>
    </row>
    <row r="488" spans="2:5" x14ac:dyDescent="0.25">
      <c r="B488" s="31">
        <v>486</v>
      </c>
      <c r="C488" s="44" t="s">
        <v>26</v>
      </c>
      <c r="D488" s="44" t="s">
        <v>4</v>
      </c>
      <c r="E488" s="32">
        <v>1019</v>
      </c>
    </row>
    <row r="489" spans="2:5" x14ac:dyDescent="0.25">
      <c r="B489" s="31">
        <v>487</v>
      </c>
      <c r="C489" s="44" t="s">
        <v>24</v>
      </c>
      <c r="D489" s="44" t="s">
        <v>6</v>
      </c>
      <c r="E489" s="32">
        <v>1194</v>
      </c>
    </row>
    <row r="490" spans="2:5" x14ac:dyDescent="0.25">
      <c r="B490" s="31">
        <v>488</v>
      </c>
      <c r="C490" s="44" t="s">
        <v>25</v>
      </c>
      <c r="D490" s="44" t="s">
        <v>9</v>
      </c>
      <c r="E490" s="32">
        <v>360</v>
      </c>
    </row>
    <row r="491" spans="2:5" x14ac:dyDescent="0.25">
      <c r="B491" s="31">
        <v>489</v>
      </c>
      <c r="C491" s="44" t="s">
        <v>25</v>
      </c>
      <c r="D491" s="44" t="s">
        <v>3</v>
      </c>
      <c r="E491" s="32">
        <v>353</v>
      </c>
    </row>
    <row r="492" spans="2:5" x14ac:dyDescent="0.25">
      <c r="B492" s="31">
        <v>490</v>
      </c>
      <c r="C492" s="44" t="s">
        <v>27</v>
      </c>
      <c r="D492" s="44" t="s">
        <v>10</v>
      </c>
      <c r="E492" s="32">
        <v>503</v>
      </c>
    </row>
    <row r="493" spans="2:5" x14ac:dyDescent="0.25">
      <c r="B493" s="31">
        <v>491</v>
      </c>
      <c r="C493" s="44" t="s">
        <v>27</v>
      </c>
      <c r="D493" s="44" t="s">
        <v>10</v>
      </c>
      <c r="E493" s="32">
        <v>784</v>
      </c>
    </row>
    <row r="494" spans="2:5" x14ac:dyDescent="0.25">
      <c r="B494" s="31">
        <v>492</v>
      </c>
      <c r="C494" s="44" t="s">
        <v>25</v>
      </c>
      <c r="D494" s="44" t="s">
        <v>9</v>
      </c>
      <c r="E494" s="32">
        <v>718</v>
      </c>
    </row>
    <row r="495" spans="2:5" x14ac:dyDescent="0.25">
      <c r="B495" s="31">
        <v>493</v>
      </c>
      <c r="C495" s="44" t="s">
        <v>25</v>
      </c>
      <c r="D495" s="44" t="s">
        <v>6</v>
      </c>
      <c r="E495" s="32">
        <v>982</v>
      </c>
    </row>
    <row r="496" spans="2:5" x14ac:dyDescent="0.25">
      <c r="B496" s="31">
        <v>494</v>
      </c>
      <c r="C496" s="44" t="s">
        <v>25</v>
      </c>
      <c r="D496" s="44" t="s">
        <v>9</v>
      </c>
      <c r="E496" s="32">
        <v>741</v>
      </c>
    </row>
    <row r="497" spans="2:5" x14ac:dyDescent="0.25">
      <c r="B497" s="31">
        <v>495</v>
      </c>
      <c r="C497" s="44" t="s">
        <v>24</v>
      </c>
      <c r="D497" s="44" t="s">
        <v>8</v>
      </c>
      <c r="E497" s="32">
        <v>921</v>
      </c>
    </row>
    <row r="498" spans="2:5" x14ac:dyDescent="0.25">
      <c r="B498" s="31">
        <v>496</v>
      </c>
      <c r="C498" s="44" t="s">
        <v>27</v>
      </c>
      <c r="D498" s="44" t="s">
        <v>4</v>
      </c>
      <c r="E498" s="32">
        <v>737</v>
      </c>
    </row>
    <row r="499" spans="2:5" x14ac:dyDescent="0.25">
      <c r="B499" s="31">
        <v>497</v>
      </c>
      <c r="C499" s="44" t="s">
        <v>27</v>
      </c>
      <c r="D499" s="44" t="s">
        <v>7</v>
      </c>
      <c r="E499" s="32">
        <v>851</v>
      </c>
    </row>
    <row r="500" spans="2:5" x14ac:dyDescent="0.25">
      <c r="B500" s="31">
        <v>498</v>
      </c>
      <c r="C500" s="44" t="s">
        <v>23</v>
      </c>
      <c r="D500" s="44" t="s">
        <v>8</v>
      </c>
      <c r="E500" s="32">
        <v>400</v>
      </c>
    </row>
    <row r="501" spans="2:5" x14ac:dyDescent="0.25">
      <c r="B501" s="31">
        <v>499</v>
      </c>
      <c r="C501" s="44" t="s">
        <v>27</v>
      </c>
      <c r="D501" s="44" t="s">
        <v>9</v>
      </c>
      <c r="E501" s="32">
        <v>746</v>
      </c>
    </row>
    <row r="502" spans="2:5" ht="15.75" thickBot="1" x14ac:dyDescent="0.3">
      <c r="B502" s="33">
        <v>500</v>
      </c>
      <c r="C502" s="45" t="s">
        <v>23</v>
      </c>
      <c r="D502" s="45" t="s">
        <v>2</v>
      </c>
      <c r="E502" s="34">
        <v>438</v>
      </c>
    </row>
  </sheetData>
  <mergeCells count="4">
    <mergeCell ref="L32:O34"/>
    <mergeCell ref="L5:O7"/>
    <mergeCell ref="L14:O16"/>
    <mergeCell ref="L23:O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2026-02-24T00:58:25Z</dcterms:modified>
</cp:coreProperties>
</file>