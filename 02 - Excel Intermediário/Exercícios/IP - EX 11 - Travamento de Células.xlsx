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79AC5D03-7C1E-4971-950D-57E61437691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6" r:id="rId2"/>
    <sheet name="EXEMPLO" sheetId="10" r:id="rId3"/>
    <sheet name="EXERCICIO" sheetId="17" r:id="rId4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10" l="1"/>
  <c r="H38" i="10"/>
  <c r="H37" i="10"/>
  <c r="H36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H30" i="10"/>
  <c r="G30" i="10"/>
  <c r="F30" i="10"/>
  <c r="H29" i="10"/>
  <c r="G29" i="10"/>
  <c r="F29" i="10"/>
  <c r="H28" i="10"/>
  <c r="G28" i="10"/>
  <c r="F28" i="10"/>
  <c r="H27" i="10"/>
  <c r="G27" i="10"/>
  <c r="F27" i="10"/>
  <c r="H26" i="10"/>
  <c r="G26" i="10"/>
  <c r="F26" i="10"/>
  <c r="H25" i="10"/>
  <c r="G25" i="10"/>
  <c r="F25" i="10"/>
  <c r="H24" i="10"/>
  <c r="G24" i="10"/>
  <c r="F24" i="10"/>
  <c r="H23" i="10"/>
  <c r="G23" i="10"/>
  <c r="F23" i="10"/>
  <c r="H22" i="10"/>
  <c r="G22" i="10"/>
  <c r="F22" i="10"/>
  <c r="H21" i="10"/>
  <c r="G21" i="10"/>
  <c r="F21" i="10"/>
  <c r="H20" i="10"/>
  <c r="G20" i="10"/>
  <c r="F20" i="10"/>
  <c r="H19" i="10"/>
  <c r="G19" i="10"/>
  <c r="F19" i="10"/>
  <c r="H18" i="10"/>
  <c r="G18" i="10"/>
  <c r="F18" i="10"/>
  <c r="H17" i="10"/>
  <c r="G17" i="10"/>
  <c r="F17" i="10"/>
  <c r="H16" i="10"/>
  <c r="G16" i="10"/>
  <c r="F16" i="10"/>
  <c r="H15" i="10"/>
  <c r="G15" i="10"/>
  <c r="F15" i="10"/>
  <c r="H14" i="10"/>
  <c r="G14" i="10"/>
  <c r="F14" i="10"/>
  <c r="H13" i="10"/>
  <c r="G13" i="10"/>
  <c r="F13" i="10"/>
  <c r="H12" i="10"/>
  <c r="G12" i="10"/>
  <c r="F12" i="10"/>
  <c r="H11" i="10"/>
  <c r="G11" i="10"/>
  <c r="F11" i="10"/>
  <c r="I63" i="16"/>
  <c r="I64" i="16"/>
  <c r="D62" i="16"/>
  <c r="E62" i="16"/>
  <c r="I45" i="16"/>
  <c r="I46" i="16"/>
  <c r="D44" i="16"/>
  <c r="E44" i="16"/>
  <c r="I27" i="16"/>
  <c r="I28" i="16"/>
  <c r="D26" i="16"/>
  <c r="E26" i="16"/>
  <c r="C26" i="16"/>
  <c r="I11" i="16"/>
  <c r="I12" i="16"/>
  <c r="D10" i="16"/>
  <c r="E10" i="16"/>
  <c r="I10" i="16"/>
  <c r="C10" i="16"/>
  <c r="I62" i="16"/>
  <c r="C62" i="16"/>
  <c r="I44" i="16"/>
  <c r="C44" i="16"/>
  <c r="I26" i="16"/>
</calcChain>
</file>

<file path=xl/sharedStrings.xml><?xml version="1.0" encoding="utf-8"?>
<sst xmlns="http://schemas.openxmlformats.org/spreadsheetml/2006/main" count="67" uniqueCount="42">
  <si>
    <t>NOMES</t>
  </si>
  <si>
    <t>JOÃO</t>
  </si>
  <si>
    <t>MARIA</t>
  </si>
  <si>
    <t>JOSÉ</t>
  </si>
  <si>
    <t>JOAQUIM</t>
  </si>
  <si>
    <t>GUSTAVO</t>
  </si>
  <si>
    <t>LUCAS</t>
  </si>
  <si>
    <t>RAFAELA</t>
  </si>
  <si>
    <t>CAMILA</t>
  </si>
  <si>
    <t>VALORES</t>
  </si>
  <si>
    <t>DESTRAVADA</t>
  </si>
  <si>
    <t>C5</t>
  </si>
  <si>
    <t>PERMITE ESTA MOVIMENTAÇÃO</t>
  </si>
  <si>
    <t>TRAVADA NA COLUNA</t>
  </si>
  <si>
    <t>TRAVA ESTA MOVIMENTAÇÃO</t>
  </si>
  <si>
    <t>TRAVADA NA LINHA</t>
  </si>
  <si>
    <t>TRAVADA</t>
  </si>
  <si>
    <t>VALOR COM DESCONTO</t>
  </si>
  <si>
    <t>TRAVAMENTO</t>
  </si>
  <si>
    <t>PEDRO</t>
  </si>
  <si>
    <t>&gt;&gt; ONE-LINER &lt;&lt;</t>
  </si>
  <si>
    <t>&gt;&gt; CONTEÚDO DA AULA &lt;&lt;</t>
  </si>
  <si>
    <t>1. Travamento de Célula</t>
  </si>
  <si>
    <t>Sem conteúdo nesta aula. ;)</t>
  </si>
  <si>
    <t>Redes sociais:</t>
  </si>
  <si>
    <t>instagram</t>
  </si>
  <si>
    <t>facebook</t>
  </si>
  <si>
    <t>linkedIn</t>
  </si>
  <si>
    <t>site: dnc.group</t>
  </si>
  <si>
    <t>$C21</t>
  </si>
  <si>
    <t>C$39</t>
  </si>
  <si>
    <t>$C$57</t>
  </si>
  <si>
    <t>(arraste para o lado e explique a referência andando)</t>
  </si>
  <si>
    <t>(marque com "x" se for a pessoa)</t>
  </si>
  <si>
    <t>DESCONTO:</t>
  </si>
  <si>
    <t>(se apareceu o valor na célula deu certo, né?)</t>
  </si>
  <si>
    <t>VENDAS DO GRUPO</t>
  </si>
  <si>
    <t>VENDAS INDIVIDUAIS</t>
  </si>
  <si>
    <t>"Travar células é utilizado quando se há referência a outra célula em funções e fórmulas, visando que cálculos sejam feitos com interválos errados ."</t>
  </si>
  <si>
    <t>TOTAL DE VENDAS</t>
  </si>
  <si>
    <t>NOME</t>
  </si>
  <si>
    <t>Travamento de Célula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</si>
</sst>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2"/>
      <color rgb="FFE4528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5286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mediumDashed">
        <color auto="1"/>
      </top>
      <bottom style="mediumDashed">
        <color auto="1"/>
      </bottom>
      <diagonal/>
    </border>
    <border>
      <left/>
      <right style="thin">
        <color indexed="64"/>
      </right>
      <top style="mediumDashed">
        <color auto="1"/>
      </top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7">
    <xf numFmtId="0" fontId="0" fillId="0" borderId="0"/>
    <xf numFmtId="0" fontId="2" fillId="0" borderId="0"/>
    <xf numFmtId="4" fontId="3" fillId="2" borderId="2">
      <alignment horizontal="left" vertical="center" indent="1"/>
    </xf>
    <xf numFmtId="16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4" borderId="12" xfId="0" applyFill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4" borderId="15" xfId="0" applyFill="1" applyBorder="1"/>
    <xf numFmtId="0" fontId="0" fillId="0" borderId="16" xfId="0" applyBorder="1"/>
    <xf numFmtId="0" fontId="8" fillId="3" borderId="25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0" fillId="3" borderId="26" xfId="0" applyFill="1" applyBorder="1"/>
    <xf numFmtId="0" fontId="0" fillId="3" borderId="27" xfId="0" applyFill="1" applyBorder="1"/>
    <xf numFmtId="0" fontId="10" fillId="3" borderId="31" xfId="0" applyFont="1" applyFill="1" applyBorder="1"/>
    <xf numFmtId="0" fontId="0" fillId="3" borderId="0" xfId="0" applyFill="1"/>
    <xf numFmtId="0" fontId="10" fillId="3" borderId="0" xfId="0" applyFont="1" applyFill="1"/>
    <xf numFmtId="0" fontId="10" fillId="3" borderId="32" xfId="0" applyFont="1" applyFill="1" applyBorder="1"/>
    <xf numFmtId="0" fontId="10" fillId="3" borderId="28" xfId="0" applyFont="1" applyFill="1" applyBorder="1"/>
    <xf numFmtId="0" fontId="0" fillId="3" borderId="29" xfId="0" applyFill="1" applyBorder="1"/>
    <xf numFmtId="0" fontId="0" fillId="3" borderId="30" xfId="0" applyFill="1" applyBorder="1"/>
    <xf numFmtId="0" fontId="4" fillId="0" borderId="0" xfId="0" applyFont="1" applyAlignment="1">
      <alignment vertical="center"/>
    </xf>
    <xf numFmtId="0" fontId="0" fillId="5" borderId="33" xfId="0" applyFill="1" applyBorder="1"/>
    <xf numFmtId="0" fontId="0" fillId="5" borderId="34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0" xfId="0" applyFill="1"/>
    <xf numFmtId="0" fontId="12" fillId="5" borderId="0" xfId="0" applyFont="1" applyFill="1"/>
    <xf numFmtId="0" fontId="13" fillId="5" borderId="0" xfId="0" applyFont="1" applyFill="1" applyAlignment="1">
      <alignment vertical="center"/>
    </xf>
    <xf numFmtId="0" fontId="13" fillId="5" borderId="37" xfId="0" applyFont="1" applyFill="1" applyBorder="1" applyAlignment="1">
      <alignment vertical="center"/>
    </xf>
    <xf numFmtId="0" fontId="14" fillId="5" borderId="36" xfId="0" applyFont="1" applyFill="1" applyBorder="1"/>
    <xf numFmtId="0" fontId="15" fillId="5" borderId="0" xfId="6" applyFont="1" applyFill="1" applyBorder="1"/>
    <xf numFmtId="0" fontId="11" fillId="5" borderId="0" xfId="6" applyFill="1" applyBorder="1"/>
    <xf numFmtId="0" fontId="0" fillId="5" borderId="38" xfId="0" applyFill="1" applyBorder="1"/>
    <xf numFmtId="0" fontId="0" fillId="5" borderId="39" xfId="0" applyFill="1" applyBorder="1"/>
    <xf numFmtId="0" fontId="15" fillId="5" borderId="40" xfId="6" applyFont="1" applyFill="1" applyBorder="1" applyAlignment="1">
      <alignment horizontal="right"/>
    </xf>
    <xf numFmtId="0" fontId="16" fillId="6" borderId="42" xfId="0" applyFont="1" applyFill="1" applyBorder="1" applyAlignment="1">
      <alignment horizontal="center"/>
    </xf>
    <xf numFmtId="0" fontId="16" fillId="6" borderId="44" xfId="0" applyFont="1" applyFill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0" fontId="16" fillId="6" borderId="4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44" fontId="0" fillId="0" borderId="47" xfId="4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4" fontId="0" fillId="0" borderId="50" xfId="4" applyFont="1" applyBorder="1" applyAlignment="1">
      <alignment horizontal="center" vertical="center"/>
    </xf>
    <xf numFmtId="0" fontId="16" fillId="6" borderId="5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8" fillId="0" borderId="0" xfId="0" applyFont="1"/>
    <xf numFmtId="0" fontId="19" fillId="0" borderId="0" xfId="0" applyFont="1" applyBorder="1"/>
    <xf numFmtId="0" fontId="20" fillId="0" borderId="0" xfId="0" applyFont="1" applyBorder="1"/>
    <xf numFmtId="0" fontId="20" fillId="0" borderId="0" xfId="0" applyFont="1"/>
    <xf numFmtId="9" fontId="21" fillId="3" borderId="42" xfId="5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0" fillId="3" borderId="42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3" xfId="0" applyBorder="1" applyAlignment="1">
      <alignment horizontal="center"/>
    </xf>
    <xf numFmtId="0" fontId="14" fillId="0" borderId="0" xfId="0" applyFont="1" applyAlignment="1">
      <alignment horizontal="center"/>
    </xf>
    <xf numFmtId="0" fontId="22" fillId="6" borderId="0" xfId="0" applyFont="1" applyFill="1"/>
    <xf numFmtId="0" fontId="23" fillId="6" borderId="0" xfId="0" applyFont="1" applyFill="1" applyAlignment="1">
      <alignment horizontal="center" wrapText="1"/>
    </xf>
    <xf numFmtId="0" fontId="23" fillId="0" borderId="0" xfId="0" applyFont="1" applyFill="1" applyAlignment="1">
      <alignment wrapText="1"/>
    </xf>
    <xf numFmtId="0" fontId="23" fillId="0" borderId="43" xfId="0" applyFont="1" applyFill="1" applyBorder="1" applyAlignment="1">
      <alignment wrapText="1"/>
    </xf>
    <xf numFmtId="0" fontId="24" fillId="0" borderId="0" xfId="0" applyFont="1"/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3" borderId="28" xfId="0" applyFont="1" applyFill="1" applyBorder="1" applyAlignment="1">
      <alignment horizontal="left" vertical="top" wrapText="1"/>
    </xf>
    <xf numFmtId="0" fontId="9" fillId="3" borderId="29" xfId="0" applyFont="1" applyFill="1" applyBorder="1" applyAlignment="1">
      <alignment horizontal="left" vertical="top" wrapText="1"/>
    </xf>
    <xf numFmtId="0" fontId="9" fillId="3" borderId="30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wrapText="1"/>
    </xf>
    <xf numFmtId="44" fontId="0" fillId="0" borderId="48" xfId="4" applyFont="1" applyBorder="1" applyAlignment="1">
      <alignment horizontal="center" vertical="center"/>
    </xf>
    <xf numFmtId="44" fontId="0" fillId="0" borderId="51" xfId="4" applyFont="1" applyBorder="1" applyAlignment="1">
      <alignment horizontal="center" vertical="center"/>
    </xf>
  </cellXfs>
  <cellStyles count="7">
    <cellStyle name="Hiperlink" xfId="6" builtinId="8"/>
    <cellStyle name="Moeda" xfId="4" builtinId="4"/>
    <cellStyle name="Normal" xfId="0" builtinId="0"/>
    <cellStyle name="Normal 2" xfId="1" xr:uid="{00000000-0005-0000-0000-000002000000}"/>
    <cellStyle name="Porcentagem" xfId="5" builtinId="5"/>
    <cellStyle name="SAPBEXfilterDrill" xfId="2" xr:uid="{00000000-0005-0000-0000-000004000000}"/>
    <cellStyle name="Vírgula 2" xfId="3" xr:uid="{00000000-0005-0000-0000-000005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4</xdr:row>
      <xdr:rowOff>66675</xdr:rowOff>
    </xdr:from>
    <xdr:to>
      <xdr:col>11</xdr:col>
      <xdr:colOff>380600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5B9E48-D49F-404B-89E9-710595051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8620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12C038-81AF-4CCF-A3BB-AECAFECD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11</xdr:row>
      <xdr:rowOff>9525</xdr:rowOff>
    </xdr:from>
    <xdr:to>
      <xdr:col>4</xdr:col>
      <xdr:colOff>133350</xdr:colOff>
      <xdr:row>11</xdr:row>
      <xdr:rowOff>11113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619250" y="2133600"/>
          <a:ext cx="952500" cy="1588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9</xdr:row>
      <xdr:rowOff>19049</xdr:rowOff>
    </xdr:from>
    <xdr:to>
      <xdr:col>7</xdr:col>
      <xdr:colOff>314325</xdr:colOff>
      <xdr:row>12</xdr:row>
      <xdr:rowOff>66674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rot="16200000" flipH="1">
          <a:off x="4267200" y="2066924"/>
          <a:ext cx="61912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27</xdr:row>
      <xdr:rowOff>9525</xdr:rowOff>
    </xdr:from>
    <xdr:to>
      <xdr:col>4</xdr:col>
      <xdr:colOff>133350</xdr:colOff>
      <xdr:row>27</xdr:row>
      <xdr:rowOff>11113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619250" y="5219700"/>
          <a:ext cx="952500" cy="1588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25</xdr:row>
      <xdr:rowOff>19049</xdr:rowOff>
    </xdr:from>
    <xdr:to>
      <xdr:col>7</xdr:col>
      <xdr:colOff>314325</xdr:colOff>
      <xdr:row>28</xdr:row>
      <xdr:rowOff>66674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16200000" flipH="1">
          <a:off x="4267200" y="5153024"/>
          <a:ext cx="61912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45</xdr:row>
      <xdr:rowOff>9525</xdr:rowOff>
    </xdr:from>
    <xdr:to>
      <xdr:col>4</xdr:col>
      <xdr:colOff>133350</xdr:colOff>
      <xdr:row>45</xdr:row>
      <xdr:rowOff>11113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619250" y="8705850"/>
          <a:ext cx="952500" cy="1588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43</xdr:row>
      <xdr:rowOff>19049</xdr:rowOff>
    </xdr:from>
    <xdr:to>
      <xdr:col>7</xdr:col>
      <xdr:colOff>314325</xdr:colOff>
      <xdr:row>46</xdr:row>
      <xdr:rowOff>66674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4267200" y="8639174"/>
          <a:ext cx="61912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63</xdr:row>
      <xdr:rowOff>9525</xdr:rowOff>
    </xdr:from>
    <xdr:to>
      <xdr:col>4</xdr:col>
      <xdr:colOff>133350</xdr:colOff>
      <xdr:row>63</xdr:row>
      <xdr:rowOff>11113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619250" y="12192000"/>
          <a:ext cx="952500" cy="1588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61</xdr:row>
      <xdr:rowOff>19049</xdr:rowOff>
    </xdr:from>
    <xdr:to>
      <xdr:col>7</xdr:col>
      <xdr:colOff>314325</xdr:colOff>
      <xdr:row>64</xdr:row>
      <xdr:rowOff>66674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rot="16200000" flipH="1">
          <a:off x="4267200" y="12125324"/>
          <a:ext cx="61912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1600200</xdr:colOff>
      <xdr:row>4</xdr:row>
      <xdr:rowOff>66675</xdr:rowOff>
    </xdr:from>
    <xdr:to>
      <xdr:col>9</xdr:col>
      <xdr:colOff>266300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D6E7BF-DFFB-4086-BB77-8D5D90801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4386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2312CF-32F6-466D-837D-39EC520C5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6</xdr:col>
      <xdr:colOff>0</xdr:colOff>
      <xdr:row>2</xdr:row>
      <xdr:rowOff>99050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E49EF41-C9F7-44BB-AB8B-0E11E9279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DACE331-85EA-46EB-A5FB-E72F4F1E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1D17461E-2B50-4226-B0AF-2576D9BE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E8F0846-08DB-4EC2-A959-3952014A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3"/>
  <sheetViews>
    <sheetView showGridLines="0" workbookViewId="0">
      <selection activeCell="F11" sqref="F11"/>
    </sheetView>
  </sheetViews>
  <sheetFormatPr defaultRowHeight="15" x14ac:dyDescent="0.25"/>
  <sheetData>
    <row r="2" spans="2:17" ht="15" customHeight="1" x14ac:dyDescent="0.25">
      <c r="B2" s="74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6"/>
    </row>
    <row r="3" spans="2:17" ht="15" customHeight="1" x14ac:dyDescent="0.25"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/>
    </row>
    <row r="4" spans="2:17" ht="15" customHeight="1" x14ac:dyDescent="0.25"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/>
    </row>
    <row r="5" spans="2:17" ht="15" customHeight="1" x14ac:dyDescent="0.25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9"/>
    </row>
    <row r="6" spans="2:17" ht="15" customHeigh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/>
    </row>
    <row r="7" spans="2:17" ht="15.75" thickBot="1" x14ac:dyDescent="0.3"/>
    <row r="8" spans="2:17" ht="18" customHeight="1" x14ac:dyDescent="0.25">
      <c r="B8" s="22" t="s">
        <v>20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</row>
    <row r="9" spans="2:17" x14ac:dyDescent="0.25">
      <c r="B9" s="83" t="s">
        <v>38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</row>
    <row r="10" spans="2:17" ht="6.75" customHeight="1" thickBot="1" x14ac:dyDescent="0.3"/>
    <row r="11" spans="2:17" ht="15.75" x14ac:dyDescent="0.25">
      <c r="B11" s="22" t="s">
        <v>21</v>
      </c>
      <c r="C11" s="25"/>
      <c r="D11" s="25"/>
      <c r="E11" s="26"/>
    </row>
    <row r="12" spans="2:17" x14ac:dyDescent="0.25">
      <c r="B12" s="27" t="s">
        <v>22</v>
      </c>
      <c r="C12" s="28"/>
      <c r="D12" s="29"/>
      <c r="E12" s="30"/>
    </row>
    <row r="13" spans="2:17" ht="5.25" customHeight="1" x14ac:dyDescent="0.25">
      <c r="B13" s="31"/>
      <c r="C13" s="32"/>
      <c r="D13" s="32"/>
      <c r="E13" s="33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showGridLines="0" topLeftCell="A70" workbookViewId="0">
      <selection activeCell="I62" sqref="I62:I64"/>
    </sheetView>
  </sheetViews>
  <sheetFormatPr defaultColWidth="0" defaultRowHeight="15" x14ac:dyDescent="0.25"/>
  <cols>
    <col min="1" max="12" width="9.140625" customWidth="1"/>
    <col min="13" max="13" width="14.5703125" customWidth="1"/>
    <col min="14" max="14" width="9.140625" customWidth="1"/>
    <col min="15" max="15" width="2.7109375" customWidth="1"/>
    <col min="16" max="16384" width="9.140625" hidden="1"/>
  </cols>
  <sheetData>
    <row r="1" spans="1:14" ht="15.75" thickBot="1" x14ac:dyDescent="0.3"/>
    <row r="2" spans="1:14" x14ac:dyDescent="0.25">
      <c r="B2" s="86" t="s">
        <v>10</v>
      </c>
      <c r="C2" s="87"/>
      <c r="D2" s="87"/>
      <c r="E2" s="88"/>
    </row>
    <row r="3" spans="1:14" ht="15.75" thickBot="1" x14ac:dyDescent="0.3">
      <c r="B3" s="89"/>
      <c r="C3" s="90"/>
      <c r="D3" s="90"/>
      <c r="E3" s="91"/>
    </row>
    <row r="4" spans="1:14" ht="15.75" thickBot="1" x14ac:dyDescent="0.3">
      <c r="A4" s="5"/>
      <c r="B4" s="4"/>
      <c r="C4" s="4"/>
      <c r="D4" s="4"/>
      <c r="E4" s="4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/>
      <c r="B5" s="4"/>
      <c r="C5" s="8">
        <v>1</v>
      </c>
      <c r="D5" s="2">
        <v>2</v>
      </c>
      <c r="E5" s="2">
        <v>3</v>
      </c>
      <c r="F5" s="4"/>
      <c r="G5" s="4"/>
      <c r="H5" s="4"/>
      <c r="I5" s="4"/>
      <c r="J5" s="4"/>
      <c r="K5" s="4"/>
      <c r="L5" s="92" t="s">
        <v>11</v>
      </c>
      <c r="M5" s="93"/>
      <c r="N5" s="4"/>
    </row>
    <row r="6" spans="1:14" x14ac:dyDescent="0.25">
      <c r="A6" s="7"/>
      <c r="B6" s="4"/>
      <c r="C6" s="2">
        <v>2</v>
      </c>
      <c r="D6" s="4"/>
      <c r="E6" s="4"/>
      <c r="F6" s="4"/>
      <c r="G6" s="4"/>
      <c r="H6" s="4"/>
      <c r="I6" s="4"/>
      <c r="J6" s="4"/>
      <c r="K6" s="4"/>
      <c r="L6" s="94"/>
      <c r="M6" s="95"/>
      <c r="N6" s="4"/>
    </row>
    <row r="7" spans="1:14" x14ac:dyDescent="0.25">
      <c r="A7" s="7"/>
      <c r="B7" s="4"/>
      <c r="C7" s="2">
        <v>3</v>
      </c>
      <c r="D7" s="4"/>
      <c r="E7" s="4"/>
      <c r="F7" s="4"/>
      <c r="G7" s="4"/>
      <c r="H7" s="4"/>
      <c r="I7" s="4"/>
      <c r="J7" s="4"/>
      <c r="K7" s="4"/>
      <c r="L7" s="94"/>
      <c r="M7" s="95"/>
      <c r="N7" s="4"/>
    </row>
    <row r="8" spans="1:14" x14ac:dyDescent="0.25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96"/>
      <c r="M8" s="97"/>
      <c r="N8" s="4"/>
    </row>
    <row r="9" spans="1:14" ht="15.75" thickBot="1" x14ac:dyDescent="0.3">
      <c r="A9" s="7"/>
      <c r="B9" s="4"/>
      <c r="C9" s="61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6.5" thickBot="1" x14ac:dyDescent="0.3">
      <c r="A10" s="7"/>
      <c r="B10" s="4"/>
      <c r="C10" s="49">
        <f>$C5</f>
        <v>1</v>
      </c>
      <c r="D10" s="49">
        <f t="shared" ref="D10:E10" si="0">$C5</f>
        <v>1</v>
      </c>
      <c r="E10" s="49">
        <f t="shared" si="0"/>
        <v>1</v>
      </c>
      <c r="F10" s="4"/>
      <c r="G10" s="4"/>
      <c r="H10" s="4"/>
      <c r="I10" s="49">
        <f>C5</f>
        <v>1</v>
      </c>
      <c r="J10" s="4"/>
      <c r="K10" s="4"/>
      <c r="L10" s="4"/>
      <c r="M10" s="4"/>
      <c r="N10" s="4"/>
    </row>
    <row r="11" spans="1:14" ht="16.5" thickBot="1" x14ac:dyDescent="0.3">
      <c r="A11" s="7"/>
      <c r="B11" s="4"/>
      <c r="C11" s="4"/>
      <c r="D11" s="4"/>
      <c r="E11" s="4"/>
      <c r="F11" s="4"/>
      <c r="G11" s="4"/>
      <c r="H11" s="4"/>
      <c r="I11" s="49">
        <f t="shared" ref="I11:I12" si="1">C6</f>
        <v>2</v>
      </c>
      <c r="J11" s="4"/>
      <c r="K11" s="4"/>
      <c r="L11" s="4"/>
      <c r="M11" s="4"/>
      <c r="N11" s="4"/>
    </row>
    <row r="12" spans="1:14" ht="15.75" x14ac:dyDescent="0.25">
      <c r="A12" s="7"/>
      <c r="B12" s="4"/>
      <c r="C12" s="4"/>
      <c r="D12" s="4"/>
      <c r="E12" s="4"/>
      <c r="F12" s="4"/>
      <c r="G12" s="4"/>
      <c r="H12" s="4"/>
      <c r="I12" s="49">
        <f t="shared" si="1"/>
        <v>3</v>
      </c>
      <c r="J12" s="4"/>
      <c r="K12" s="4"/>
      <c r="L12" s="4"/>
      <c r="M12" s="4"/>
      <c r="N12" s="4"/>
    </row>
    <row r="13" spans="1:14" x14ac:dyDescent="0.25">
      <c r="A13" s="7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7"/>
      <c r="B14" s="4"/>
      <c r="C14" s="60" t="s">
        <v>12</v>
      </c>
      <c r="D14" s="4"/>
      <c r="E14" s="4"/>
      <c r="F14" s="4"/>
      <c r="G14" s="4"/>
      <c r="H14" s="4"/>
      <c r="I14" s="60" t="s">
        <v>12</v>
      </c>
      <c r="J14" s="4"/>
      <c r="K14" s="4"/>
      <c r="L14" s="4"/>
      <c r="M14" s="4"/>
      <c r="N14" s="4"/>
    </row>
    <row r="15" spans="1:14" ht="15.75" thickBot="1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.75" thickBot="1" x14ac:dyDescent="0.3"/>
    <row r="17" spans="1:14" x14ac:dyDescent="0.25">
      <c r="B17" s="86" t="s">
        <v>13</v>
      </c>
      <c r="C17" s="87"/>
      <c r="D17" s="87"/>
      <c r="E17" s="88"/>
    </row>
    <row r="18" spans="1:14" ht="15.75" thickBot="1" x14ac:dyDescent="0.3">
      <c r="B18" s="89"/>
      <c r="C18" s="90"/>
      <c r="D18" s="90"/>
      <c r="E18" s="91"/>
    </row>
    <row r="19" spans="1:14" ht="15.75" thickBot="1" x14ac:dyDescent="0.3">
      <c r="A19" s="5"/>
      <c r="B19" s="4"/>
      <c r="C19" s="4"/>
      <c r="D19" s="4"/>
      <c r="E19" s="4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7"/>
      <c r="B20" s="4"/>
      <c r="C20" s="11"/>
      <c r="D20" s="4"/>
      <c r="E20" s="4"/>
      <c r="F20" s="4"/>
      <c r="G20" s="4"/>
      <c r="H20" s="4"/>
      <c r="I20" s="4"/>
      <c r="J20" s="4"/>
      <c r="K20" s="4"/>
      <c r="L20" s="92" t="s">
        <v>29</v>
      </c>
      <c r="M20" s="93"/>
      <c r="N20" s="4"/>
    </row>
    <row r="21" spans="1:14" x14ac:dyDescent="0.25">
      <c r="A21" s="7"/>
      <c r="B21" s="4"/>
      <c r="C21" s="12">
        <v>1</v>
      </c>
      <c r="D21" s="13">
        <v>2</v>
      </c>
      <c r="E21" s="2">
        <v>3</v>
      </c>
      <c r="F21" s="4"/>
      <c r="G21" s="4"/>
      <c r="H21" s="4"/>
      <c r="I21" s="4"/>
      <c r="J21" s="4"/>
      <c r="K21" s="4"/>
      <c r="L21" s="94"/>
      <c r="M21" s="95"/>
      <c r="N21" s="4"/>
    </row>
    <row r="22" spans="1:14" x14ac:dyDescent="0.25">
      <c r="A22" s="7"/>
      <c r="B22" s="4"/>
      <c r="C22" s="14">
        <v>2</v>
      </c>
      <c r="D22" s="4"/>
      <c r="E22" s="4"/>
      <c r="F22" s="4"/>
      <c r="G22" s="4"/>
      <c r="H22" s="4"/>
      <c r="I22" s="4"/>
      <c r="J22" s="4"/>
      <c r="K22" s="4"/>
      <c r="L22" s="94"/>
      <c r="M22" s="95"/>
      <c r="N22" s="4"/>
    </row>
    <row r="23" spans="1:14" x14ac:dyDescent="0.25">
      <c r="A23" s="7"/>
      <c r="B23" s="4"/>
      <c r="C23" s="14">
        <v>3</v>
      </c>
      <c r="D23" s="4"/>
      <c r="E23" s="4"/>
      <c r="F23" s="4"/>
      <c r="G23" s="4"/>
      <c r="H23" s="4"/>
      <c r="I23" s="4"/>
      <c r="J23" s="4"/>
      <c r="K23" s="4"/>
      <c r="L23" s="96"/>
      <c r="M23" s="97"/>
      <c r="N23" s="4"/>
    </row>
    <row r="24" spans="1:14" x14ac:dyDescent="0.25">
      <c r="A24" s="7"/>
      <c r="B24" s="4"/>
      <c r="C24" s="1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thickBot="1" x14ac:dyDescent="0.3">
      <c r="A25" s="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6.5" thickBot="1" x14ac:dyDescent="0.3">
      <c r="A26" s="7"/>
      <c r="B26" s="4"/>
      <c r="C26" s="49">
        <f>$C21</f>
        <v>1</v>
      </c>
      <c r="D26" s="49">
        <f t="shared" ref="D26:E26" si="2">$C21</f>
        <v>1</v>
      </c>
      <c r="E26" s="49">
        <f t="shared" si="2"/>
        <v>1</v>
      </c>
      <c r="F26" s="4"/>
      <c r="G26" s="4"/>
      <c r="H26" s="4"/>
      <c r="I26" s="49">
        <f>$C21</f>
        <v>1</v>
      </c>
      <c r="J26" s="4"/>
      <c r="K26" s="4"/>
      <c r="L26" s="4"/>
      <c r="M26" s="4"/>
      <c r="N26" s="4"/>
    </row>
    <row r="27" spans="1:14" ht="16.5" thickBot="1" x14ac:dyDescent="0.3">
      <c r="A27" s="7"/>
      <c r="B27" s="4"/>
      <c r="C27" s="4"/>
      <c r="D27" s="4"/>
      <c r="E27" s="4"/>
      <c r="F27" s="4"/>
      <c r="G27" s="4"/>
      <c r="H27" s="4"/>
      <c r="I27" s="49">
        <f t="shared" ref="I27:I28" si="3">$C22</f>
        <v>2</v>
      </c>
      <c r="J27" s="4"/>
      <c r="K27" s="4"/>
      <c r="L27" s="4"/>
      <c r="M27" s="4"/>
      <c r="N27" s="4"/>
    </row>
    <row r="28" spans="1:14" ht="15.75" x14ac:dyDescent="0.25">
      <c r="A28" s="7"/>
      <c r="B28" s="4"/>
      <c r="C28" s="4"/>
      <c r="D28" s="4"/>
      <c r="E28" s="4"/>
      <c r="F28" s="4"/>
      <c r="G28" s="4"/>
      <c r="H28" s="4"/>
      <c r="I28" s="49">
        <f t="shared" si="3"/>
        <v>3</v>
      </c>
      <c r="J28" s="4"/>
      <c r="K28" s="4"/>
      <c r="L28" s="4"/>
      <c r="M28" s="4"/>
      <c r="N28" s="4"/>
    </row>
    <row r="29" spans="1:14" x14ac:dyDescent="0.25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7"/>
      <c r="B31" s="4"/>
      <c r="C31" s="60" t="s">
        <v>14</v>
      </c>
      <c r="D31" s="4"/>
      <c r="E31" s="4"/>
      <c r="F31" s="4"/>
      <c r="G31" s="4"/>
      <c r="H31" s="4"/>
      <c r="I31" s="60" t="s">
        <v>12</v>
      </c>
      <c r="J31" s="4"/>
      <c r="K31" s="4"/>
      <c r="L31" s="4"/>
      <c r="M31" s="4"/>
      <c r="N31" s="4"/>
    </row>
    <row r="32" spans="1:14" ht="15.75" thickBo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4" spans="1:14" ht="15.75" thickBot="1" x14ac:dyDescent="0.3"/>
    <row r="35" spans="1:14" x14ac:dyDescent="0.25">
      <c r="B35" s="86" t="s">
        <v>15</v>
      </c>
      <c r="C35" s="87"/>
      <c r="D35" s="87"/>
      <c r="E35" s="88"/>
    </row>
    <row r="36" spans="1:14" ht="15.75" thickBot="1" x14ac:dyDescent="0.3">
      <c r="B36" s="89"/>
      <c r="C36" s="90"/>
      <c r="D36" s="90"/>
      <c r="E36" s="91"/>
    </row>
    <row r="37" spans="1:14" ht="15.75" thickBot="1" x14ac:dyDescent="0.3">
      <c r="A37" s="5"/>
      <c r="B37" s="4"/>
      <c r="C37" s="4"/>
      <c r="D37" s="4"/>
      <c r="E37" s="4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thickBot="1" x14ac:dyDescent="0.3">
      <c r="A38" s="7"/>
      <c r="B38" s="4"/>
      <c r="C38" s="4"/>
      <c r="D38" s="4"/>
      <c r="E38" s="4"/>
      <c r="F38" s="4"/>
      <c r="G38" s="4"/>
      <c r="H38" s="4"/>
      <c r="I38" s="4"/>
      <c r="J38" s="4"/>
      <c r="K38" s="4"/>
      <c r="L38" s="92" t="s">
        <v>30</v>
      </c>
      <c r="M38" s="93"/>
      <c r="N38" s="4"/>
    </row>
    <row r="39" spans="1:14" ht="15.75" thickBot="1" x14ac:dyDescent="0.3">
      <c r="A39" s="7"/>
      <c r="B39" s="15"/>
      <c r="C39" s="16">
        <v>1</v>
      </c>
      <c r="D39" s="17">
        <v>2</v>
      </c>
      <c r="E39" s="18">
        <v>3</v>
      </c>
      <c r="F39" s="15"/>
      <c r="G39" s="4"/>
      <c r="H39" s="4"/>
      <c r="I39" s="4"/>
      <c r="J39" s="4"/>
      <c r="K39" s="4"/>
      <c r="L39" s="94"/>
      <c r="M39" s="95"/>
      <c r="N39" s="4"/>
    </row>
    <row r="40" spans="1:14" x14ac:dyDescent="0.25">
      <c r="A40" s="7"/>
      <c r="B40" s="4"/>
      <c r="C40" s="19">
        <v>2</v>
      </c>
      <c r="D40" s="4"/>
      <c r="E40" s="4"/>
      <c r="F40" s="4"/>
      <c r="G40" s="4"/>
      <c r="H40" s="4"/>
      <c r="I40" s="4"/>
      <c r="J40" s="4"/>
      <c r="K40" s="4"/>
      <c r="L40" s="94"/>
      <c r="M40" s="95"/>
      <c r="N40" s="4"/>
    </row>
    <row r="41" spans="1:14" x14ac:dyDescent="0.25">
      <c r="A41" s="7"/>
      <c r="B41" s="4"/>
      <c r="C41" s="2">
        <v>3</v>
      </c>
      <c r="D41" s="4"/>
      <c r="E41" s="4"/>
      <c r="F41" s="4"/>
      <c r="G41" s="4"/>
      <c r="H41" s="4"/>
      <c r="I41" s="4"/>
      <c r="J41" s="4"/>
      <c r="K41" s="4"/>
      <c r="L41" s="96"/>
      <c r="M41" s="97"/>
      <c r="N41" s="4"/>
    </row>
    <row r="42" spans="1:14" x14ac:dyDescent="0.25">
      <c r="A42" s="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5.75" thickBot="1" x14ac:dyDescent="0.3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6.5" thickBot="1" x14ac:dyDescent="0.3">
      <c r="A44" s="7"/>
      <c r="B44" s="4"/>
      <c r="C44" s="49">
        <f>C$39</f>
        <v>1</v>
      </c>
      <c r="D44" s="49">
        <f t="shared" ref="D44:E44" si="4">D$39</f>
        <v>2</v>
      </c>
      <c r="E44" s="49">
        <f t="shared" si="4"/>
        <v>3</v>
      </c>
      <c r="F44" s="4"/>
      <c r="G44" s="4"/>
      <c r="H44" s="4"/>
      <c r="I44" s="49">
        <f>C$39</f>
        <v>1</v>
      </c>
      <c r="J44" s="4"/>
      <c r="K44" s="4"/>
      <c r="L44" s="4"/>
      <c r="M44" s="4"/>
      <c r="N44" s="4"/>
    </row>
    <row r="45" spans="1:14" ht="16.5" thickBot="1" x14ac:dyDescent="0.3">
      <c r="A45" s="7"/>
      <c r="B45" s="4"/>
      <c r="C45" s="4"/>
      <c r="D45" s="4"/>
      <c r="E45" s="4"/>
      <c r="F45" s="4"/>
      <c r="G45" s="4"/>
      <c r="H45" s="4"/>
      <c r="I45" s="49">
        <f t="shared" ref="I45:I46" si="5">C$39</f>
        <v>1</v>
      </c>
      <c r="J45" s="4"/>
      <c r="K45" s="4"/>
      <c r="L45" s="4"/>
      <c r="M45" s="4"/>
      <c r="N45" s="4"/>
    </row>
    <row r="46" spans="1:14" ht="15.75" x14ac:dyDescent="0.25">
      <c r="A46" s="7"/>
      <c r="B46" s="4"/>
      <c r="C46" s="4"/>
      <c r="D46" s="4"/>
      <c r="E46" s="4"/>
      <c r="F46" s="4"/>
      <c r="G46" s="4"/>
      <c r="H46" s="4"/>
      <c r="I46" s="49">
        <f t="shared" si="5"/>
        <v>1</v>
      </c>
      <c r="J46" s="4"/>
      <c r="K46" s="4"/>
      <c r="L46" s="4"/>
      <c r="M46" s="4"/>
      <c r="N46" s="4"/>
    </row>
    <row r="47" spans="1:14" x14ac:dyDescent="0.25">
      <c r="A47" s="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 s="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5">
      <c r="A49" s="7"/>
      <c r="B49" s="4"/>
      <c r="C49" s="60" t="s">
        <v>12</v>
      </c>
      <c r="D49" s="4"/>
      <c r="E49" s="4"/>
      <c r="F49" s="4"/>
      <c r="G49" s="4"/>
      <c r="H49" s="4"/>
      <c r="I49" s="60" t="s">
        <v>14</v>
      </c>
      <c r="J49" s="4"/>
      <c r="K49" s="4"/>
      <c r="L49" s="4"/>
      <c r="M49" s="4"/>
      <c r="N49" s="4"/>
    </row>
    <row r="50" spans="1:14" ht="15.75" thickBot="1" x14ac:dyDescent="0.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2" spans="1:14" ht="15.75" thickBot="1" x14ac:dyDescent="0.3"/>
    <row r="53" spans="1:14" x14ac:dyDescent="0.25">
      <c r="B53" s="86" t="s">
        <v>16</v>
      </c>
      <c r="C53" s="87"/>
      <c r="D53" s="87"/>
      <c r="E53" s="88"/>
    </row>
    <row r="54" spans="1:14" ht="15.75" thickBot="1" x14ac:dyDescent="0.3">
      <c r="B54" s="89"/>
      <c r="C54" s="90"/>
      <c r="D54" s="90"/>
      <c r="E54" s="91"/>
    </row>
    <row r="55" spans="1:14" ht="15.75" thickBot="1" x14ac:dyDescent="0.3">
      <c r="A55" s="5"/>
      <c r="B55" s="4"/>
      <c r="C55" s="4"/>
      <c r="D55" s="4"/>
      <c r="E55" s="4"/>
      <c r="F55" s="6"/>
      <c r="G55" s="6"/>
      <c r="H55" s="6"/>
      <c r="I55" s="6"/>
      <c r="J55" s="6"/>
      <c r="K55" s="6"/>
      <c r="L55" s="6"/>
      <c r="M55" s="6"/>
      <c r="N55" s="6"/>
    </row>
    <row r="56" spans="1:14" ht="15.75" thickBot="1" x14ac:dyDescent="0.3">
      <c r="A56" s="7"/>
      <c r="B56" s="4"/>
      <c r="C56" s="11"/>
      <c r="D56" s="4"/>
      <c r="E56" s="4"/>
      <c r="F56" s="4"/>
      <c r="G56" s="4"/>
      <c r="H56" s="4"/>
      <c r="I56" s="4"/>
      <c r="J56" s="4"/>
      <c r="K56" s="4"/>
      <c r="L56" s="92" t="s">
        <v>31</v>
      </c>
      <c r="M56" s="93"/>
      <c r="N56" s="4"/>
    </row>
    <row r="57" spans="1:14" ht="15.75" thickBot="1" x14ac:dyDescent="0.3">
      <c r="A57" s="7"/>
      <c r="B57" s="15"/>
      <c r="C57" s="20">
        <v>1</v>
      </c>
      <c r="D57" s="17">
        <v>2</v>
      </c>
      <c r="E57" s="18">
        <v>3</v>
      </c>
      <c r="F57" s="15"/>
      <c r="G57" s="4"/>
      <c r="H57" s="4"/>
      <c r="I57" s="4"/>
      <c r="J57" s="4"/>
      <c r="K57" s="4"/>
      <c r="L57" s="94"/>
      <c r="M57" s="95"/>
      <c r="N57" s="4"/>
    </row>
    <row r="58" spans="1:14" x14ac:dyDescent="0.25">
      <c r="A58" s="7"/>
      <c r="B58" s="4"/>
      <c r="C58" s="21">
        <v>2</v>
      </c>
      <c r="D58" s="4"/>
      <c r="E58" s="4"/>
      <c r="F58" s="4"/>
      <c r="G58" s="4"/>
      <c r="H58" s="4"/>
      <c r="I58" s="4"/>
      <c r="J58" s="4"/>
      <c r="K58" s="4"/>
      <c r="L58" s="94"/>
      <c r="M58" s="95"/>
      <c r="N58" s="4"/>
    </row>
    <row r="59" spans="1:14" x14ac:dyDescent="0.25">
      <c r="A59" s="7"/>
      <c r="B59" s="4"/>
      <c r="C59" s="14">
        <v>3</v>
      </c>
      <c r="D59" s="4"/>
      <c r="E59" s="4"/>
      <c r="F59" s="4"/>
      <c r="G59" s="4"/>
      <c r="H59" s="4"/>
      <c r="I59" s="4"/>
      <c r="J59" s="4"/>
      <c r="K59" s="4"/>
      <c r="L59" s="96"/>
      <c r="M59" s="97"/>
      <c r="N59" s="4"/>
    </row>
    <row r="60" spans="1:14" x14ac:dyDescent="0.25">
      <c r="A60" s="7"/>
      <c r="B60" s="4"/>
      <c r="C60" s="1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5.75" thickBot="1" x14ac:dyDescent="0.3">
      <c r="A61" s="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6.5" thickBot="1" x14ac:dyDescent="0.3">
      <c r="A62" s="7"/>
      <c r="B62" s="4"/>
      <c r="C62" s="49">
        <f>$C$57</f>
        <v>1</v>
      </c>
      <c r="D62" s="49">
        <f t="shared" ref="D62:E62" si="6">$C$57</f>
        <v>1</v>
      </c>
      <c r="E62" s="49">
        <f t="shared" si="6"/>
        <v>1</v>
      </c>
      <c r="F62" s="4"/>
      <c r="G62" s="4"/>
      <c r="H62" s="4"/>
      <c r="I62" s="49">
        <f>$C$57</f>
        <v>1</v>
      </c>
      <c r="J62" s="4"/>
      <c r="K62" s="4"/>
      <c r="L62" s="4"/>
      <c r="M62" s="4"/>
      <c r="N62" s="4"/>
    </row>
    <row r="63" spans="1:14" ht="16.5" thickBot="1" x14ac:dyDescent="0.3">
      <c r="A63" s="7"/>
      <c r="B63" s="4"/>
      <c r="C63" s="4"/>
      <c r="D63" s="4"/>
      <c r="E63" s="4"/>
      <c r="F63" s="4"/>
      <c r="G63" s="4"/>
      <c r="H63" s="4"/>
      <c r="I63" s="49">
        <f t="shared" ref="I63:I64" si="7">$C$57</f>
        <v>1</v>
      </c>
      <c r="J63" s="4"/>
      <c r="K63" s="4"/>
      <c r="L63" s="4"/>
      <c r="M63" s="4"/>
      <c r="N63" s="4"/>
    </row>
    <row r="64" spans="1:14" ht="15.75" x14ac:dyDescent="0.25">
      <c r="A64" s="7"/>
      <c r="B64" s="4"/>
      <c r="C64" s="4"/>
      <c r="D64" s="4"/>
      <c r="E64" s="4"/>
      <c r="F64" s="4"/>
      <c r="G64" s="4"/>
      <c r="H64" s="4"/>
      <c r="I64" s="49">
        <f t="shared" si="7"/>
        <v>1</v>
      </c>
      <c r="J64" s="4"/>
      <c r="K64" s="4"/>
      <c r="L64" s="4"/>
      <c r="M64" s="4"/>
      <c r="N64" s="4"/>
    </row>
    <row r="65" spans="1:14" x14ac:dyDescent="0.25">
      <c r="A65" s="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25">
      <c r="A66" s="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25">
      <c r="A67" s="7"/>
      <c r="B67" s="4"/>
      <c r="C67" s="60" t="s">
        <v>14</v>
      </c>
      <c r="D67" s="4"/>
      <c r="E67" s="4"/>
      <c r="F67" s="4"/>
      <c r="G67" s="4"/>
      <c r="H67" s="4"/>
      <c r="I67" s="60" t="s">
        <v>14</v>
      </c>
      <c r="J67" s="4"/>
      <c r="K67" s="4"/>
      <c r="L67" s="4"/>
      <c r="M67" s="4"/>
      <c r="N67" s="4"/>
    </row>
    <row r="68" spans="1:14" ht="15.75" thickBot="1" x14ac:dyDescent="0.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</sheetData>
  <mergeCells count="8">
    <mergeCell ref="B53:E54"/>
    <mergeCell ref="L56:M59"/>
    <mergeCell ref="B2:E3"/>
    <mergeCell ref="L5:M8"/>
    <mergeCell ref="B17:E18"/>
    <mergeCell ref="L20:M23"/>
    <mergeCell ref="B35:E36"/>
    <mergeCell ref="L38:M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47"/>
  <sheetViews>
    <sheetView showGridLines="0" tabSelected="1" topLeftCell="A30" workbookViewId="0">
      <selection activeCell="F39" sqref="F39"/>
    </sheetView>
  </sheetViews>
  <sheetFormatPr defaultRowHeight="15" x14ac:dyDescent="0.25"/>
  <cols>
    <col min="2" max="2" width="18.7109375" customWidth="1"/>
    <col min="3" max="3" width="14.7109375" customWidth="1"/>
    <col min="4" max="4" width="24.5703125" bestFit="1" customWidth="1"/>
    <col min="5" max="5" width="2.140625" customWidth="1"/>
    <col min="7" max="7" width="11.42578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2" spans="2:15" ht="15" customHeight="1" x14ac:dyDescent="0.25">
      <c r="B2" s="74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2:15" ht="15" customHeight="1" x14ac:dyDescent="0.25"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9"/>
    </row>
    <row r="4" spans="2:15" ht="15" customHeight="1" x14ac:dyDescent="0.25"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9"/>
    </row>
    <row r="5" spans="2:15" ht="15" customHeight="1" x14ac:dyDescent="0.25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</row>
    <row r="6" spans="2:15" ht="15" customHeigh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2"/>
    </row>
    <row r="8" spans="2:15" ht="15.75" x14ac:dyDescent="0.25">
      <c r="B8" s="73" t="s">
        <v>18</v>
      </c>
    </row>
    <row r="9" spans="2:15" ht="15.75" thickBot="1" x14ac:dyDescent="0.3">
      <c r="F9" s="62" t="s">
        <v>33</v>
      </c>
    </row>
    <row r="10" spans="2:15" ht="16.5" thickBot="1" x14ac:dyDescent="0.3">
      <c r="B10" s="50" t="s">
        <v>0</v>
      </c>
      <c r="C10" s="51" t="s">
        <v>9</v>
      </c>
      <c r="D10" s="52" t="s">
        <v>17</v>
      </c>
      <c r="F10" s="57" t="s">
        <v>2</v>
      </c>
      <c r="G10" s="57" t="s">
        <v>1</v>
      </c>
      <c r="H10" s="57" t="s">
        <v>7</v>
      </c>
      <c r="I10" s="1"/>
      <c r="J10" s="59" t="s">
        <v>34</v>
      </c>
      <c r="K10" s="1"/>
      <c r="L10" s="1"/>
    </row>
    <row r="11" spans="2:15" ht="15.75" x14ac:dyDescent="0.25">
      <c r="B11" s="53" t="s">
        <v>2</v>
      </c>
      <c r="C11" s="54">
        <v>87</v>
      </c>
      <c r="D11" s="99">
        <f>C11-C11*$J$11</f>
        <v>73.95</v>
      </c>
      <c r="F11" s="58" t="str">
        <f>IF($B11 = F$10, "x", "")</f>
        <v>x</v>
      </c>
      <c r="G11" s="58" t="str">
        <f t="shared" ref="G11:H30" si="0">IF($B11 = G$10, "x", "")</f>
        <v/>
      </c>
      <c r="H11" s="58" t="str">
        <f t="shared" si="0"/>
        <v/>
      </c>
      <c r="J11" s="63">
        <v>0.15</v>
      </c>
    </row>
    <row r="12" spans="2:15" x14ac:dyDescent="0.25">
      <c r="B12" s="53" t="s">
        <v>2</v>
      </c>
      <c r="C12" s="54">
        <v>145</v>
      </c>
      <c r="D12" s="99">
        <f t="shared" ref="D12:D30" si="1">C12-C12*$J$11</f>
        <v>123.25</v>
      </c>
      <c r="F12" s="58" t="str">
        <f t="shared" ref="F12:H30" si="2">IF($B12 = F$10, "x", "")</f>
        <v>x</v>
      </c>
      <c r="G12" s="58" t="str">
        <f t="shared" si="0"/>
        <v/>
      </c>
      <c r="H12" s="58" t="str">
        <f t="shared" si="0"/>
        <v/>
      </c>
    </row>
    <row r="13" spans="2:15" x14ac:dyDescent="0.25">
      <c r="B13" s="53" t="s">
        <v>1</v>
      </c>
      <c r="C13" s="54">
        <v>154</v>
      </c>
      <c r="D13" s="99">
        <f t="shared" si="1"/>
        <v>130.9</v>
      </c>
      <c r="F13" s="58" t="str">
        <f t="shared" si="2"/>
        <v/>
      </c>
      <c r="G13" s="58" t="str">
        <f t="shared" si="0"/>
        <v>x</v>
      </c>
      <c r="H13" s="58" t="str">
        <f t="shared" si="0"/>
        <v/>
      </c>
    </row>
    <row r="14" spans="2:15" x14ac:dyDescent="0.25">
      <c r="B14" s="53" t="s">
        <v>7</v>
      </c>
      <c r="C14" s="54">
        <v>36</v>
      </c>
      <c r="D14" s="99">
        <f t="shared" si="1"/>
        <v>30.6</v>
      </c>
      <c r="F14" s="58" t="str">
        <f t="shared" si="2"/>
        <v/>
      </c>
      <c r="G14" s="58" t="str">
        <f t="shared" si="0"/>
        <v/>
      </c>
      <c r="H14" s="58" t="str">
        <f t="shared" si="0"/>
        <v>x</v>
      </c>
    </row>
    <row r="15" spans="2:15" x14ac:dyDescent="0.25">
      <c r="B15" s="53" t="s">
        <v>2</v>
      </c>
      <c r="C15" s="54">
        <v>42</v>
      </c>
      <c r="D15" s="99">
        <f t="shared" si="1"/>
        <v>35.700000000000003</v>
      </c>
      <c r="F15" s="58" t="str">
        <f t="shared" si="2"/>
        <v>x</v>
      </c>
      <c r="G15" s="58" t="str">
        <f t="shared" si="0"/>
        <v/>
      </c>
      <c r="H15" s="58" t="str">
        <f t="shared" si="0"/>
        <v/>
      </c>
    </row>
    <row r="16" spans="2:15" x14ac:dyDescent="0.25">
      <c r="B16" s="53" t="s">
        <v>8</v>
      </c>
      <c r="C16" s="54">
        <v>44</v>
      </c>
      <c r="D16" s="99">
        <f t="shared" si="1"/>
        <v>37.4</v>
      </c>
      <c r="F16" s="58" t="str">
        <f t="shared" si="2"/>
        <v/>
      </c>
      <c r="G16" s="58" t="str">
        <f t="shared" si="0"/>
        <v/>
      </c>
      <c r="H16" s="58" t="str">
        <f t="shared" si="0"/>
        <v/>
      </c>
    </row>
    <row r="17" spans="2:8" x14ac:dyDescent="0.25">
      <c r="B17" s="53" t="s">
        <v>2</v>
      </c>
      <c r="C17" s="54">
        <v>168</v>
      </c>
      <c r="D17" s="99">
        <f t="shared" si="1"/>
        <v>142.80000000000001</v>
      </c>
      <c r="F17" s="58" t="str">
        <f t="shared" si="2"/>
        <v>x</v>
      </c>
      <c r="G17" s="58" t="str">
        <f t="shared" si="0"/>
        <v/>
      </c>
      <c r="H17" s="58" t="str">
        <f t="shared" si="0"/>
        <v/>
      </c>
    </row>
    <row r="18" spans="2:8" x14ac:dyDescent="0.25">
      <c r="B18" s="53" t="s">
        <v>4</v>
      </c>
      <c r="C18" s="54">
        <v>158</v>
      </c>
      <c r="D18" s="99">
        <f t="shared" si="1"/>
        <v>134.30000000000001</v>
      </c>
      <c r="F18" s="58" t="str">
        <f t="shared" si="2"/>
        <v/>
      </c>
      <c r="G18" s="58" t="str">
        <f t="shared" si="0"/>
        <v/>
      </c>
      <c r="H18" s="58" t="str">
        <f t="shared" si="0"/>
        <v/>
      </c>
    </row>
    <row r="19" spans="2:8" x14ac:dyDescent="0.25">
      <c r="B19" s="53" t="s">
        <v>5</v>
      </c>
      <c r="C19" s="54">
        <v>64</v>
      </c>
      <c r="D19" s="99">
        <f t="shared" si="1"/>
        <v>54.4</v>
      </c>
      <c r="F19" s="58" t="str">
        <f t="shared" si="2"/>
        <v/>
      </c>
      <c r="G19" s="58" t="str">
        <f t="shared" si="0"/>
        <v/>
      </c>
      <c r="H19" s="58" t="str">
        <f t="shared" si="0"/>
        <v/>
      </c>
    </row>
    <row r="20" spans="2:8" x14ac:dyDescent="0.25">
      <c r="B20" s="53" t="s">
        <v>2</v>
      </c>
      <c r="C20" s="54">
        <v>116</v>
      </c>
      <c r="D20" s="99">
        <f t="shared" si="1"/>
        <v>98.6</v>
      </c>
      <c r="F20" s="58" t="str">
        <f t="shared" si="2"/>
        <v>x</v>
      </c>
      <c r="G20" s="58" t="str">
        <f t="shared" si="0"/>
        <v/>
      </c>
      <c r="H20" s="58" t="str">
        <f t="shared" si="0"/>
        <v/>
      </c>
    </row>
    <row r="21" spans="2:8" x14ac:dyDescent="0.25">
      <c r="B21" s="53" t="s">
        <v>4</v>
      </c>
      <c r="C21" s="54">
        <v>129</v>
      </c>
      <c r="D21" s="99">
        <f t="shared" si="1"/>
        <v>109.65</v>
      </c>
      <c r="F21" s="58" t="str">
        <f t="shared" si="2"/>
        <v/>
      </c>
      <c r="G21" s="58" t="str">
        <f t="shared" si="0"/>
        <v/>
      </c>
      <c r="H21" s="58" t="str">
        <f t="shared" si="0"/>
        <v/>
      </c>
    </row>
    <row r="22" spans="2:8" x14ac:dyDescent="0.25">
      <c r="B22" s="53" t="s">
        <v>2</v>
      </c>
      <c r="C22" s="54">
        <v>159</v>
      </c>
      <c r="D22" s="99">
        <f t="shared" si="1"/>
        <v>135.15</v>
      </c>
      <c r="F22" s="58" t="str">
        <f t="shared" si="2"/>
        <v>x</v>
      </c>
      <c r="G22" s="58" t="str">
        <f t="shared" si="0"/>
        <v/>
      </c>
      <c r="H22" s="58" t="str">
        <f t="shared" si="0"/>
        <v/>
      </c>
    </row>
    <row r="23" spans="2:8" x14ac:dyDescent="0.25">
      <c r="B23" s="53" t="s">
        <v>3</v>
      </c>
      <c r="C23" s="54">
        <v>150</v>
      </c>
      <c r="D23" s="99">
        <f t="shared" si="1"/>
        <v>127.5</v>
      </c>
      <c r="F23" s="58" t="str">
        <f t="shared" si="2"/>
        <v/>
      </c>
      <c r="G23" s="58" t="str">
        <f t="shared" si="0"/>
        <v/>
      </c>
      <c r="H23" s="58" t="str">
        <f t="shared" si="0"/>
        <v/>
      </c>
    </row>
    <row r="24" spans="2:8" x14ac:dyDescent="0.25">
      <c r="B24" s="53" t="s">
        <v>6</v>
      </c>
      <c r="C24" s="54">
        <v>81</v>
      </c>
      <c r="D24" s="99">
        <f t="shared" si="1"/>
        <v>68.849999999999994</v>
      </c>
      <c r="F24" s="58" t="str">
        <f t="shared" si="2"/>
        <v/>
      </c>
      <c r="G24" s="58" t="str">
        <f t="shared" si="0"/>
        <v/>
      </c>
      <c r="H24" s="58" t="str">
        <f t="shared" si="0"/>
        <v/>
      </c>
    </row>
    <row r="25" spans="2:8" x14ac:dyDescent="0.25">
      <c r="B25" s="53" t="s">
        <v>4</v>
      </c>
      <c r="C25" s="54">
        <v>100</v>
      </c>
      <c r="D25" s="99">
        <f t="shared" si="1"/>
        <v>85</v>
      </c>
      <c r="F25" s="58" t="str">
        <f t="shared" si="2"/>
        <v/>
      </c>
      <c r="G25" s="58" t="str">
        <f t="shared" si="0"/>
        <v/>
      </c>
      <c r="H25" s="58" t="str">
        <f t="shared" si="0"/>
        <v/>
      </c>
    </row>
    <row r="26" spans="2:8" x14ac:dyDescent="0.25">
      <c r="B26" s="53" t="s">
        <v>5</v>
      </c>
      <c r="C26" s="54">
        <v>169</v>
      </c>
      <c r="D26" s="99">
        <f t="shared" si="1"/>
        <v>143.65</v>
      </c>
      <c r="F26" s="58" t="str">
        <f t="shared" si="2"/>
        <v/>
      </c>
      <c r="G26" s="58" t="str">
        <f t="shared" si="0"/>
        <v/>
      </c>
      <c r="H26" s="58" t="str">
        <f t="shared" si="0"/>
        <v/>
      </c>
    </row>
    <row r="27" spans="2:8" x14ac:dyDescent="0.25">
      <c r="B27" s="53" t="s">
        <v>5</v>
      </c>
      <c r="C27" s="54">
        <v>99</v>
      </c>
      <c r="D27" s="99">
        <f t="shared" si="1"/>
        <v>84.15</v>
      </c>
      <c r="F27" s="58" t="str">
        <f t="shared" si="2"/>
        <v/>
      </c>
      <c r="G27" s="58" t="str">
        <f t="shared" si="0"/>
        <v/>
      </c>
      <c r="H27" s="58" t="str">
        <f t="shared" si="0"/>
        <v/>
      </c>
    </row>
    <row r="28" spans="2:8" x14ac:dyDescent="0.25">
      <c r="B28" s="53" t="s">
        <v>3</v>
      </c>
      <c r="C28" s="54">
        <v>54</v>
      </c>
      <c r="D28" s="99">
        <f t="shared" si="1"/>
        <v>45.9</v>
      </c>
      <c r="F28" s="58" t="str">
        <f t="shared" si="2"/>
        <v/>
      </c>
      <c r="G28" s="58" t="str">
        <f t="shared" si="0"/>
        <v/>
      </c>
      <c r="H28" s="58" t="str">
        <f t="shared" si="0"/>
        <v/>
      </c>
    </row>
    <row r="29" spans="2:8" x14ac:dyDescent="0.25">
      <c r="B29" s="53" t="s">
        <v>4</v>
      </c>
      <c r="C29" s="54">
        <v>38</v>
      </c>
      <c r="D29" s="99">
        <f t="shared" si="1"/>
        <v>32.299999999999997</v>
      </c>
      <c r="F29" s="58" t="str">
        <f t="shared" si="2"/>
        <v/>
      </c>
      <c r="G29" s="58" t="str">
        <f t="shared" si="0"/>
        <v/>
      </c>
      <c r="H29" s="58" t="str">
        <f t="shared" si="0"/>
        <v/>
      </c>
    </row>
    <row r="30" spans="2:8" ht="15.75" thickBot="1" x14ac:dyDescent="0.3">
      <c r="B30" s="55" t="s">
        <v>7</v>
      </c>
      <c r="C30" s="56">
        <v>136</v>
      </c>
      <c r="D30" s="100">
        <f t="shared" si="1"/>
        <v>115.6</v>
      </c>
      <c r="F30" s="58" t="str">
        <f t="shared" si="2"/>
        <v/>
      </c>
      <c r="G30" s="58" t="str">
        <f t="shared" si="0"/>
        <v/>
      </c>
      <c r="H30" s="58" t="str">
        <f t="shared" si="0"/>
        <v>x</v>
      </c>
    </row>
    <row r="33" spans="2:9" ht="15" customHeight="1" x14ac:dyDescent="0.25">
      <c r="G33" s="98" t="s">
        <v>37</v>
      </c>
      <c r="H33" s="98" t="s">
        <v>39</v>
      </c>
    </row>
    <row r="34" spans="2:9" x14ac:dyDescent="0.25">
      <c r="B34" s="69" t="s">
        <v>36</v>
      </c>
      <c r="F34" s="70" t="s">
        <v>40</v>
      </c>
      <c r="G34" s="98"/>
      <c r="H34" s="98"/>
    </row>
    <row r="35" spans="2:9" ht="3.75" customHeight="1" thickBot="1" x14ac:dyDescent="0.3">
      <c r="F35" s="71"/>
      <c r="G35" s="71"/>
      <c r="H35" s="72"/>
    </row>
    <row r="36" spans="2:9" ht="15.75" thickBot="1" x14ac:dyDescent="0.3">
      <c r="B36" s="66">
        <v>14</v>
      </c>
      <c r="D36" s="3"/>
      <c r="F36" s="68" t="s">
        <v>6</v>
      </c>
      <c r="G36" s="3">
        <v>34</v>
      </c>
      <c r="H36" s="65">
        <f>G36+SUM($B$36:$B$47)</f>
        <v>251</v>
      </c>
    </row>
    <row r="37" spans="2:9" ht="15.75" thickBot="1" x14ac:dyDescent="0.3">
      <c r="B37" s="67">
        <v>18</v>
      </c>
      <c r="F37" s="68" t="s">
        <v>19</v>
      </c>
      <c r="G37" s="3">
        <v>23</v>
      </c>
      <c r="H37" s="65">
        <f t="shared" ref="H37:H39" si="3">G37+SUM($B$36:$B$47)</f>
        <v>240</v>
      </c>
    </row>
    <row r="38" spans="2:9" ht="15.75" thickBot="1" x14ac:dyDescent="0.3">
      <c r="B38" s="67">
        <v>20</v>
      </c>
      <c r="F38" s="68" t="s">
        <v>1</v>
      </c>
      <c r="G38" s="3">
        <v>11</v>
      </c>
      <c r="H38" s="65">
        <f t="shared" si="3"/>
        <v>228</v>
      </c>
    </row>
    <row r="39" spans="2:9" x14ac:dyDescent="0.25">
      <c r="B39" s="67">
        <v>17</v>
      </c>
      <c r="F39" s="68" t="s">
        <v>2</v>
      </c>
      <c r="G39" s="3">
        <v>9</v>
      </c>
      <c r="H39" s="65">
        <f t="shared" si="3"/>
        <v>226</v>
      </c>
    </row>
    <row r="40" spans="2:9" x14ac:dyDescent="0.25">
      <c r="B40" s="67">
        <v>17</v>
      </c>
      <c r="H40" s="64" t="s">
        <v>35</v>
      </c>
    </row>
    <row r="41" spans="2:9" x14ac:dyDescent="0.25">
      <c r="B41" s="67">
        <v>18</v>
      </c>
    </row>
    <row r="42" spans="2:9" x14ac:dyDescent="0.25">
      <c r="B42" s="67">
        <v>18</v>
      </c>
    </row>
    <row r="43" spans="2:9" x14ac:dyDescent="0.25">
      <c r="B43" s="67">
        <v>18</v>
      </c>
    </row>
    <row r="44" spans="2:9" x14ac:dyDescent="0.25">
      <c r="B44" s="67">
        <v>24</v>
      </c>
      <c r="H44" s="3"/>
      <c r="I44" s="3"/>
    </row>
    <row r="45" spans="2:9" x14ac:dyDescent="0.25">
      <c r="B45" s="67">
        <v>14</v>
      </c>
    </row>
    <row r="46" spans="2:9" x14ac:dyDescent="0.25">
      <c r="B46" s="67">
        <v>24</v>
      </c>
    </row>
    <row r="47" spans="2:9" x14ac:dyDescent="0.25">
      <c r="B47" s="67">
        <v>15</v>
      </c>
    </row>
  </sheetData>
  <mergeCells count="3">
    <mergeCell ref="B2:O6"/>
    <mergeCell ref="H33:H34"/>
    <mergeCell ref="G33:G3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5"/>
  <sheetViews>
    <sheetView showGridLines="0" workbookViewId="0">
      <selection activeCell="D16" sqref="D16"/>
    </sheetView>
  </sheetViews>
  <sheetFormatPr defaultRowHeight="15" x14ac:dyDescent="0.25"/>
  <cols>
    <col min="1" max="1" width="1.5703125" customWidth="1"/>
  </cols>
  <sheetData>
    <row r="1" spans="2:9" ht="15.75" thickBot="1" x14ac:dyDescent="0.3"/>
    <row r="2" spans="2:9" ht="15" customHeight="1" x14ac:dyDescent="0.25">
      <c r="B2" s="35"/>
      <c r="C2" s="36"/>
      <c r="D2" s="36"/>
      <c r="E2" s="36"/>
      <c r="F2" s="37"/>
      <c r="G2" s="34"/>
      <c r="H2" s="34"/>
      <c r="I2" s="34"/>
    </row>
    <row r="3" spans="2:9" ht="15" customHeight="1" x14ac:dyDescent="0.25">
      <c r="B3" s="38"/>
      <c r="C3" s="39"/>
      <c r="D3" s="40"/>
      <c r="E3" s="41"/>
      <c r="F3" s="42"/>
      <c r="G3" s="34"/>
      <c r="H3" s="34"/>
      <c r="I3" s="34"/>
    </row>
    <row r="4" spans="2:9" ht="15" customHeight="1" x14ac:dyDescent="0.25">
      <c r="B4" s="38"/>
      <c r="C4" s="40" t="s">
        <v>23</v>
      </c>
      <c r="D4" s="39"/>
      <c r="E4" s="41"/>
      <c r="F4" s="42"/>
      <c r="G4" s="34"/>
      <c r="H4" s="34"/>
      <c r="I4" s="34"/>
    </row>
    <row r="5" spans="2:9" ht="3.95" customHeight="1" x14ac:dyDescent="0.25">
      <c r="B5" s="38"/>
      <c r="C5" s="40"/>
      <c r="D5" s="39"/>
      <c r="E5" s="41"/>
      <c r="F5" s="42"/>
      <c r="G5" s="34"/>
      <c r="H5" s="34"/>
      <c r="I5" s="34"/>
    </row>
    <row r="6" spans="2:9" ht="15" customHeight="1" x14ac:dyDescent="0.25">
      <c r="B6" s="43" t="s">
        <v>24</v>
      </c>
      <c r="C6" s="39"/>
      <c r="D6" s="39"/>
      <c r="E6" s="39"/>
      <c r="F6" s="42"/>
      <c r="G6" s="34"/>
      <c r="H6" s="34"/>
      <c r="I6" s="34"/>
    </row>
    <row r="7" spans="2:9" ht="3.95" customHeight="1" x14ac:dyDescent="0.25">
      <c r="B7" s="43"/>
      <c r="C7" s="39"/>
      <c r="D7" s="39"/>
      <c r="E7" s="39"/>
      <c r="F7" s="42"/>
    </row>
    <row r="8" spans="2:9" ht="15" customHeight="1" x14ac:dyDescent="0.25">
      <c r="B8" s="38"/>
      <c r="C8" s="44" t="s">
        <v>25</v>
      </c>
      <c r="D8" s="39"/>
      <c r="E8" s="39"/>
      <c r="F8" s="42"/>
    </row>
    <row r="9" spans="2:9" ht="3.95" customHeight="1" x14ac:dyDescent="0.25">
      <c r="B9" s="38"/>
      <c r="C9" s="44"/>
      <c r="D9" s="39"/>
      <c r="E9" s="39"/>
      <c r="F9" s="42"/>
    </row>
    <row r="10" spans="2:9" ht="15" customHeight="1" x14ac:dyDescent="0.25">
      <c r="B10" s="38"/>
      <c r="C10" s="45" t="s">
        <v>26</v>
      </c>
      <c r="D10" s="39"/>
      <c r="E10" s="39"/>
      <c r="F10" s="42"/>
    </row>
    <row r="11" spans="2:9" ht="3.95" customHeight="1" x14ac:dyDescent="0.25">
      <c r="B11" s="38"/>
      <c r="C11" s="44"/>
      <c r="D11" s="39"/>
      <c r="E11" s="39"/>
      <c r="F11" s="42"/>
    </row>
    <row r="12" spans="2:9" ht="15" customHeight="1" x14ac:dyDescent="0.25">
      <c r="B12" s="38"/>
      <c r="C12" s="45" t="s">
        <v>27</v>
      </c>
      <c r="D12" s="39"/>
      <c r="E12" s="39"/>
      <c r="F12" s="42"/>
    </row>
    <row r="13" spans="2:9" ht="15" customHeight="1" x14ac:dyDescent="0.25">
      <c r="B13" s="46"/>
      <c r="C13" s="47"/>
      <c r="D13" s="47"/>
      <c r="E13" s="47"/>
      <c r="F13" s="48" t="s">
        <v>28</v>
      </c>
    </row>
    <row r="14" spans="2:9" ht="15" customHeight="1" x14ac:dyDescent="0.25"/>
    <row r="15" spans="2:9" ht="15" customHeight="1" x14ac:dyDescent="0.25"/>
  </sheetData>
  <hyperlinks>
    <hyperlink ref="F13" r:id="rId1" display="Site &gt;&gt;" xr:uid="{D9AA64B5-AE6E-41AD-A491-0A710BE74323}"/>
    <hyperlink ref="C8" r:id="rId2" display="Instagram &gt;&gt;" xr:uid="{5E6092ED-59D1-4253-A5B8-77820E7A2F81}"/>
    <hyperlink ref="C12" r:id="rId3" display="LinkedIn &gt;&gt;" xr:uid="{DADB073A-AADC-4F0E-AB30-2880E26FC035}"/>
    <hyperlink ref="C10" r:id="rId4" xr:uid="{578DACE2-3120-4D69-92D6-1D76F2D59886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EXPLICAÇÃO</vt:lpstr>
      <vt:lpstr>EXEMPLO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2026-02-24T00:25:16Z</dcterms:modified>
</cp:coreProperties>
</file>