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Cliente\Desktop\excel novos\"/>
    </mc:Choice>
  </mc:AlternateContent>
  <bookViews>
    <workbookView xWindow="240" yWindow="60" windowWidth="20115" windowHeight="8010"/>
  </bookViews>
  <sheets>
    <sheet name="CONTEÚDO" sheetId="1" r:id="rId1"/>
    <sheet name="EXPLICAÇÃO" sheetId="4" r:id="rId2"/>
    <sheet name="EXERCÍCIOS" sheetId="5" r:id="rId3"/>
    <sheet name="EXERCÍCIOS (resolvido)" sheetId="6" state="hidden" r:id="rId4"/>
  </sheets>
  <calcPr calcId="162913"/>
</workbook>
</file>

<file path=xl/calcChain.xml><?xml version="1.0" encoding="utf-8"?>
<calcChain xmlns="http://schemas.openxmlformats.org/spreadsheetml/2006/main">
  <c r="F36" i="6" l="1"/>
  <c r="G36" i="6"/>
  <c r="H36" i="6"/>
  <c r="I36" i="6"/>
  <c r="J36" i="6"/>
  <c r="K36" i="6"/>
  <c r="L36" i="6"/>
  <c r="M36" i="6"/>
  <c r="N36" i="6"/>
  <c r="O36" i="6"/>
  <c r="E36" i="6"/>
  <c r="D36" i="6"/>
  <c r="E35" i="6"/>
  <c r="F35" i="6"/>
  <c r="G35" i="6"/>
  <c r="H35" i="6"/>
  <c r="I35" i="6"/>
  <c r="J35" i="6"/>
  <c r="K35" i="6"/>
  <c r="L35" i="6"/>
  <c r="M35" i="6"/>
  <c r="N35" i="6"/>
  <c r="O35" i="6"/>
  <c r="D35" i="6"/>
  <c r="P32" i="6"/>
  <c r="P31" i="6"/>
  <c r="P30" i="6"/>
  <c r="P29" i="6"/>
  <c r="P28" i="6"/>
  <c r="P27" i="6"/>
  <c r="P26" i="6"/>
  <c r="P25" i="6"/>
  <c r="P24" i="6"/>
  <c r="P23" i="6"/>
  <c r="P22" i="6"/>
  <c r="P21" i="6"/>
  <c r="P20" i="6"/>
  <c r="P19" i="6"/>
  <c r="P18" i="6"/>
  <c r="P17" i="6"/>
  <c r="P16" i="6"/>
  <c r="N32" i="6"/>
  <c r="M32" i="6"/>
  <c r="L32" i="6"/>
  <c r="J32" i="6"/>
  <c r="I32" i="6"/>
  <c r="H32" i="6"/>
  <c r="F32" i="6"/>
  <c r="E32" i="6"/>
  <c r="D32" i="6"/>
  <c r="C31" i="6"/>
  <c r="C30" i="6"/>
  <c r="C29" i="6"/>
  <c r="O28" i="6"/>
  <c r="O32" i="6" s="1"/>
  <c r="N28" i="6"/>
  <c r="M28" i="6"/>
  <c r="L28" i="6"/>
  <c r="K28" i="6"/>
  <c r="K32" i="6" s="1"/>
  <c r="J28" i="6"/>
  <c r="I28" i="6"/>
  <c r="H28" i="6"/>
  <c r="G28" i="6"/>
  <c r="G32" i="6" s="1"/>
  <c r="F28" i="6"/>
  <c r="E28" i="6"/>
  <c r="D28" i="6"/>
  <c r="C27" i="6"/>
  <c r="C24" i="6"/>
  <c r="C23" i="6"/>
  <c r="C26" i="6" s="1"/>
  <c r="C21" i="6"/>
  <c r="C20" i="6"/>
  <c r="C19" i="6"/>
  <c r="C22" i="6" s="1"/>
  <c r="C25" i="6" s="1"/>
  <c r="B15" i="6"/>
  <c r="B2" i="6"/>
  <c r="D28" i="5" l="1"/>
  <c r="C31" i="5"/>
  <c r="C30" i="5"/>
  <c r="C29" i="5"/>
  <c r="O28" i="5"/>
  <c r="O32" i="5" s="1"/>
  <c r="N28" i="5"/>
  <c r="M28" i="5"/>
  <c r="M32" i="5" s="1"/>
  <c r="L28" i="5"/>
  <c r="K28" i="5"/>
  <c r="K32" i="5" s="1"/>
  <c r="J28" i="5"/>
  <c r="I28" i="5"/>
  <c r="I32" i="5" s="1"/>
  <c r="H28" i="5"/>
  <c r="G28" i="5"/>
  <c r="G32" i="5" s="1"/>
  <c r="F28" i="5"/>
  <c r="E28" i="5"/>
  <c r="E32" i="5" s="1"/>
  <c r="C23" i="5"/>
  <c r="C26" i="5" s="1"/>
  <c r="C21" i="5"/>
  <c r="C24" i="5" s="1"/>
  <c r="C27" i="5" s="1"/>
  <c r="C20" i="5"/>
  <c r="C19" i="5"/>
  <c r="C22" i="5" s="1"/>
  <c r="C25" i="5" s="1"/>
  <c r="B15" i="5"/>
  <c r="H32" i="5" l="1"/>
  <c r="L32" i="5"/>
  <c r="F32" i="5"/>
  <c r="J32" i="5"/>
  <c r="N32" i="5"/>
  <c r="D32" i="5"/>
  <c r="B2" i="5"/>
  <c r="B2" i="4"/>
</calcChain>
</file>

<file path=xl/sharedStrings.xml><?xml version="1.0" encoding="utf-8"?>
<sst xmlns="http://schemas.openxmlformats.org/spreadsheetml/2006/main" count="130" uniqueCount="54">
  <si>
    <t>CONTEÚDO DA AULA</t>
  </si>
  <si>
    <t>AULA 29 - GRÁFICOS AVANÇADOS</t>
  </si>
  <si>
    <t>*CONCEITO DE AVANÇADO</t>
  </si>
  <si>
    <t>*DIFERENÇA DE GRÁFICO SIMPLES</t>
  </si>
  <si>
    <t>*APLICAÇÃO</t>
  </si>
  <si>
    <t>joão</t>
  </si>
  <si>
    <t>jan</t>
  </si>
  <si>
    <t>fernanda</t>
  </si>
  <si>
    <t>thiago</t>
  </si>
  <si>
    <t>maria</t>
  </si>
  <si>
    <t>fev</t>
  </si>
  <si>
    <t>CONCEITO</t>
  </si>
  <si>
    <t>Venda</t>
  </si>
  <si>
    <t>Mês</t>
  </si>
  <si>
    <t>Nome</t>
  </si>
  <si>
    <t>EXERCÍCIO</t>
  </si>
  <si>
    <t>SUB-TOTAL</t>
  </si>
  <si>
    <t>João</t>
  </si>
  <si>
    <t>Operador</t>
  </si>
  <si>
    <t>Janeiro</t>
  </si>
  <si>
    <t>Fevereiro</t>
  </si>
  <si>
    <t>Março</t>
  </si>
  <si>
    <t>Abril</t>
  </si>
  <si>
    <t>Maio</t>
  </si>
  <si>
    <t>Junho</t>
  </si>
  <si>
    <t>Julho</t>
  </si>
  <si>
    <t>Agosto</t>
  </si>
  <si>
    <t>Setembro</t>
  </si>
  <si>
    <t>Outubro</t>
  </si>
  <si>
    <t>Novembro</t>
  </si>
  <si>
    <t>Dezembro</t>
  </si>
  <si>
    <t>Maria</t>
  </si>
  <si>
    <t>1ª Semana (1 a 7)</t>
  </si>
  <si>
    <t>Ana</t>
  </si>
  <si>
    <t>Subtotal</t>
  </si>
  <si>
    <t>Num</t>
  </si>
  <si>
    <t>2ª Semana (8 a 14)</t>
  </si>
  <si>
    <t>Média</t>
  </si>
  <si>
    <t>Contar Núm</t>
  </si>
  <si>
    <t>Máx</t>
  </si>
  <si>
    <t>3ª Semana (15 a 21)</t>
  </si>
  <si>
    <t>Mín</t>
  </si>
  <si>
    <t>Desvio Padrão</t>
  </si>
  <si>
    <t>Desvio Padrão P</t>
  </si>
  <si>
    <t>4ª Semana (22 a 31*)</t>
  </si>
  <si>
    <t>Soma</t>
  </si>
  <si>
    <t>Variância</t>
  </si>
  <si>
    <t>Variância P</t>
  </si>
  <si>
    <t>Resultados Válidos</t>
  </si>
  <si>
    <t>Retrabalhos</t>
  </si>
  <si>
    <t>Total de Análises</t>
  </si>
  <si>
    <t>% Retrabalho Mensal</t>
  </si>
  <si>
    <t>% Retrabalho YTD</t>
  </si>
  <si>
    <t>case: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</si>
</sst>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44" formatCode="_-&quot;R$&quot;\ * #,##0.00_-;\-&quot;R$&quot;\ * #,##0.00_-;_-&quot;R$&quot;\ * &quot;-&quot;??_-;_-@_-"/>
  </numFmts>
  <fonts count="1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i/>
      <u/>
      <sz val="20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0"/>
      <name val="Calibri"/>
      <family val="2"/>
      <scheme val="minor"/>
    </font>
    <font>
      <b/>
      <i/>
      <sz val="12"/>
      <color theme="1"/>
      <name val="Calibri"/>
      <family val="2"/>
      <scheme val="minor"/>
    </font>
    <font>
      <b/>
      <i/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name val="Calibri"/>
      <family val="2"/>
      <scheme val="minor"/>
    </font>
    <font>
      <b/>
      <sz val="9"/>
      <color theme="1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theme="3" tint="0.59999389629810485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4" tint="0.59999389629810485"/>
        <bgColor indexed="64"/>
      </patternFill>
    </fill>
  </fills>
  <borders count="31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</borders>
  <cellStyleXfs count="3">
    <xf numFmtId="0" fontId="0" fillId="0" borderId="0"/>
    <xf numFmtId="44" fontId="3" fillId="0" borderId="0" applyFont="0" applyFill="0" applyBorder="0" applyAlignment="0" applyProtection="0"/>
    <xf numFmtId="9" fontId="3" fillId="0" borderId="0" applyFont="0" applyFill="0" applyBorder="0" applyAlignment="0" applyProtection="0"/>
  </cellStyleXfs>
  <cellXfs count="87">
    <xf numFmtId="0" fontId="0" fillId="0" borderId="0" xfId="0"/>
    <xf numFmtId="0" fontId="1" fillId="0" borderId="0" xfId="0" applyFont="1"/>
    <xf numFmtId="0" fontId="2" fillId="0" borderId="0" xfId="0" applyFont="1" applyBorder="1" applyAlignment="1">
      <alignment horizontal="center" vertical="center"/>
    </xf>
    <xf numFmtId="0" fontId="2" fillId="0" borderId="0" xfId="0" applyFont="1" applyBorder="1" applyAlignment="1">
      <alignment horizontal="center" vertical="center"/>
    </xf>
    <xf numFmtId="0" fontId="0" fillId="0" borderId="1" xfId="0" applyBorder="1"/>
    <xf numFmtId="0" fontId="0" fillId="0" borderId="2" xfId="0" applyBorder="1"/>
    <xf numFmtId="44" fontId="0" fillId="0" borderId="3" xfId="1" applyFont="1" applyBorder="1"/>
    <xf numFmtId="0" fontId="0" fillId="0" borderId="4" xfId="0" applyBorder="1"/>
    <xf numFmtId="0" fontId="0" fillId="0" borderId="0" xfId="0" applyBorder="1"/>
    <xf numFmtId="44" fontId="0" fillId="0" borderId="5" xfId="1" applyFont="1" applyBorder="1"/>
    <xf numFmtId="0" fontId="0" fillId="0" borderId="6" xfId="0" applyBorder="1"/>
    <xf numFmtId="0" fontId="0" fillId="0" borderId="7" xfId="0" applyBorder="1"/>
    <xf numFmtId="44" fontId="0" fillId="0" borderId="8" xfId="1" applyFont="1" applyBorder="1"/>
    <xf numFmtId="0" fontId="0" fillId="2" borderId="9" xfId="0" applyFill="1" applyBorder="1"/>
    <xf numFmtId="0" fontId="0" fillId="2" borderId="10" xfId="0" applyFill="1" applyBorder="1"/>
    <xf numFmtId="0" fontId="0" fillId="2" borderId="11" xfId="0" applyFill="1" applyBorder="1"/>
    <xf numFmtId="0" fontId="6" fillId="0" borderId="0" xfId="0" applyFont="1"/>
    <xf numFmtId="0" fontId="7" fillId="0" borderId="0" xfId="0" applyFont="1"/>
    <xf numFmtId="0" fontId="5" fillId="0" borderId="0" xfId="0" applyFont="1"/>
    <xf numFmtId="0" fontId="5" fillId="0" borderId="0" xfId="0" applyFont="1" applyAlignment="1">
      <alignment horizontal="center"/>
    </xf>
    <xf numFmtId="0" fontId="8" fillId="3" borderId="13" xfId="0" applyFont="1" applyFill="1" applyBorder="1" applyAlignment="1">
      <alignment horizontal="center"/>
    </xf>
    <xf numFmtId="0" fontId="9" fillId="5" borderId="13" xfId="0" applyFont="1" applyFill="1" applyBorder="1" applyAlignment="1">
      <alignment horizontal="center" vertical="center"/>
    </xf>
    <xf numFmtId="0" fontId="9" fillId="5" borderId="1" xfId="0" applyFont="1" applyFill="1" applyBorder="1" applyAlignment="1">
      <alignment horizontal="center" vertical="center"/>
    </xf>
    <xf numFmtId="0" fontId="9" fillId="3" borderId="14" xfId="0" applyFont="1" applyFill="1" applyBorder="1" applyAlignment="1">
      <alignment horizontal="center" vertical="center"/>
    </xf>
    <xf numFmtId="0" fontId="10" fillId="0" borderId="16" xfId="0" applyFont="1" applyFill="1" applyBorder="1" applyAlignment="1">
      <alignment horizontal="center"/>
    </xf>
    <xf numFmtId="1" fontId="0" fillId="6" borderId="14" xfId="0" applyNumberFormat="1" applyFill="1" applyBorder="1" applyAlignment="1">
      <alignment horizontal="center"/>
    </xf>
    <xf numFmtId="0" fontId="10" fillId="0" borderId="12" xfId="0" applyFont="1" applyFill="1" applyBorder="1" applyAlignment="1">
      <alignment horizontal="center"/>
    </xf>
    <xf numFmtId="1" fontId="0" fillId="6" borderId="19" xfId="0" applyNumberFormat="1" applyFill="1" applyBorder="1" applyAlignment="1">
      <alignment horizontal="center"/>
    </xf>
    <xf numFmtId="0" fontId="0" fillId="0" borderId="0" xfId="0" applyNumberFormat="1"/>
    <xf numFmtId="0" fontId="10" fillId="0" borderId="21" xfId="0" applyFont="1" applyFill="1" applyBorder="1" applyAlignment="1">
      <alignment horizontal="center"/>
    </xf>
    <xf numFmtId="1" fontId="0" fillId="6" borderId="23" xfId="0" applyNumberFormat="1" applyFill="1" applyBorder="1" applyAlignment="1">
      <alignment horizontal="center"/>
    </xf>
    <xf numFmtId="0" fontId="0" fillId="5" borderId="12" xfId="0" applyFill="1" applyBorder="1"/>
    <xf numFmtId="0" fontId="10" fillId="7" borderId="16" xfId="0" applyFont="1" applyFill="1" applyBorder="1" applyAlignment="1">
      <alignment horizontal="center"/>
    </xf>
    <xf numFmtId="0" fontId="0" fillId="0" borderId="12" xfId="0" applyBorder="1"/>
    <xf numFmtId="0" fontId="10" fillId="7" borderId="12" xfId="0" applyFont="1" applyFill="1" applyBorder="1" applyAlignment="1">
      <alignment horizontal="center"/>
    </xf>
    <xf numFmtId="0" fontId="10" fillId="7" borderId="21" xfId="0" applyFont="1" applyFill="1" applyBorder="1" applyAlignment="1">
      <alignment horizontal="center"/>
    </xf>
    <xf numFmtId="1" fontId="0" fillId="6" borderId="24" xfId="0" applyNumberFormat="1" applyFill="1" applyBorder="1" applyAlignment="1">
      <alignment horizontal="center"/>
    </xf>
    <xf numFmtId="0" fontId="5" fillId="8" borderId="26" xfId="0" applyFont="1" applyFill="1" applyBorder="1" applyAlignment="1">
      <alignment horizontal="center"/>
    </xf>
    <xf numFmtId="0" fontId="5" fillId="8" borderId="27" xfId="0" applyFont="1" applyFill="1" applyBorder="1" applyAlignment="1">
      <alignment horizontal="center"/>
    </xf>
    <xf numFmtId="1" fontId="5" fillId="8" borderId="28" xfId="0" applyNumberFormat="1" applyFont="1" applyFill="1" applyBorder="1" applyAlignment="1">
      <alignment horizontal="center"/>
    </xf>
    <xf numFmtId="1" fontId="0" fillId="5" borderId="30" xfId="0" applyNumberFormat="1" applyFont="1" applyFill="1" applyBorder="1" applyAlignment="1">
      <alignment horizontal="center" vertical="center"/>
    </xf>
    <xf numFmtId="1" fontId="0" fillId="5" borderId="19" xfId="0" applyNumberFormat="1" applyFont="1" applyFill="1" applyBorder="1" applyAlignment="1">
      <alignment horizontal="center" vertical="center"/>
    </xf>
    <xf numFmtId="1" fontId="0" fillId="5" borderId="24" xfId="0" applyNumberFormat="1" applyFont="1" applyFill="1" applyBorder="1" applyAlignment="1">
      <alignment horizontal="center" vertical="center"/>
    </xf>
    <xf numFmtId="0" fontId="0" fillId="9" borderId="26" xfId="0" applyFont="1" applyFill="1" applyBorder="1" applyAlignment="1">
      <alignment horizontal="center"/>
    </xf>
    <xf numFmtId="0" fontId="0" fillId="9" borderId="27" xfId="0" applyFont="1" applyFill="1" applyBorder="1" applyAlignment="1">
      <alignment horizontal="center"/>
    </xf>
    <xf numFmtId="1" fontId="0" fillId="9" borderId="28" xfId="0" applyNumberFormat="1" applyFont="1" applyFill="1" applyBorder="1" applyAlignment="1">
      <alignment horizontal="center"/>
    </xf>
    <xf numFmtId="0" fontId="9" fillId="5" borderId="12" xfId="0" applyFont="1" applyFill="1" applyBorder="1" applyAlignment="1">
      <alignment horizontal="center" vertical="center"/>
    </xf>
    <xf numFmtId="9" fontId="0" fillId="0" borderId="12" xfId="2" applyFont="1" applyBorder="1" applyAlignment="1">
      <alignment horizontal="center"/>
    </xf>
    <xf numFmtId="9" fontId="0" fillId="0" borderId="12" xfId="0" applyNumberFormat="1" applyBorder="1" applyAlignment="1">
      <alignment horizontal="center"/>
    </xf>
    <xf numFmtId="0" fontId="0" fillId="4" borderId="16" xfId="0" applyFill="1" applyBorder="1" applyAlignment="1">
      <alignment horizontal="center"/>
    </xf>
    <xf numFmtId="0" fontId="0" fillId="4" borderId="17" xfId="0" applyFill="1" applyBorder="1" applyAlignment="1">
      <alignment horizontal="center"/>
    </xf>
    <xf numFmtId="0" fontId="0" fillId="4" borderId="12" xfId="0" applyFill="1" applyBorder="1" applyAlignment="1">
      <alignment horizontal="center"/>
    </xf>
    <xf numFmtId="0" fontId="0" fillId="4" borderId="9" xfId="0" applyFill="1" applyBorder="1" applyAlignment="1">
      <alignment horizontal="center"/>
    </xf>
    <xf numFmtId="0" fontId="0" fillId="4" borderId="21" xfId="0" applyFill="1" applyBorder="1" applyAlignment="1">
      <alignment horizontal="center"/>
    </xf>
    <xf numFmtId="0" fontId="0" fillId="4" borderId="22" xfId="0" applyFill="1" applyBorder="1" applyAlignment="1">
      <alignment horizontal="center"/>
    </xf>
    <xf numFmtId="0" fontId="0" fillId="4" borderId="13" xfId="0" applyFill="1" applyBorder="1" applyAlignment="1">
      <alignment horizontal="center"/>
    </xf>
    <xf numFmtId="0" fontId="0" fillId="4" borderId="1" xfId="0" applyFill="1" applyBorder="1" applyAlignment="1">
      <alignment horizontal="center"/>
    </xf>
    <xf numFmtId="0" fontId="0" fillId="4" borderId="29" xfId="0" applyFont="1" applyFill="1" applyBorder="1" applyAlignment="1">
      <alignment horizontal="center" vertical="center"/>
    </xf>
    <xf numFmtId="0" fontId="0" fillId="4" borderId="6" xfId="0" applyFont="1" applyFill="1" applyBorder="1" applyAlignment="1">
      <alignment horizontal="center" vertical="center"/>
    </xf>
    <xf numFmtId="0" fontId="0" fillId="4" borderId="12" xfId="0" applyFont="1" applyFill="1" applyBorder="1" applyAlignment="1">
      <alignment horizontal="center" vertical="center"/>
    </xf>
    <xf numFmtId="0" fontId="0" fillId="4" borderId="9" xfId="0" applyFont="1" applyFill="1" applyBorder="1" applyAlignment="1">
      <alignment horizontal="center" vertical="center"/>
    </xf>
    <xf numFmtId="0" fontId="0" fillId="4" borderId="13" xfId="0" applyFont="1" applyFill="1" applyBorder="1" applyAlignment="1">
      <alignment horizontal="center" vertical="center"/>
    </xf>
    <xf numFmtId="0" fontId="0" fillId="4" borderId="1" xfId="0" applyFont="1" applyFill="1" applyBorder="1" applyAlignment="1">
      <alignment horizontal="center" vertical="center"/>
    </xf>
    <xf numFmtId="0" fontId="0" fillId="0" borderId="3" xfId="0" applyBorder="1"/>
    <xf numFmtId="0" fontId="1" fillId="0" borderId="4" xfId="0" applyFont="1" applyBorder="1"/>
    <xf numFmtId="0" fontId="0" fillId="0" borderId="5" xfId="0" applyBorder="1"/>
    <xf numFmtId="0" fontId="0" fillId="0" borderId="8" xfId="0" applyBorder="1"/>
    <xf numFmtId="0" fontId="2" fillId="0" borderId="1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2" fillId="0" borderId="0" xfId="0" applyFont="1" applyBorder="1" applyAlignment="1">
      <alignment horizontal="center" vertical="center"/>
    </xf>
    <xf numFmtId="0" fontId="2" fillId="0" borderId="5" xfId="0" applyFont="1" applyBorder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0" fontId="2" fillId="0" borderId="7" xfId="0" applyFont="1" applyBorder="1" applyAlignment="1">
      <alignment horizontal="center" vertical="center"/>
    </xf>
    <xf numFmtId="0" fontId="2" fillId="0" borderId="8" xfId="0" applyFont="1" applyBorder="1" applyAlignment="1">
      <alignment horizontal="center" vertical="center"/>
    </xf>
    <xf numFmtId="0" fontId="8" fillId="0" borderId="12" xfId="0" applyFont="1" applyBorder="1" applyAlignment="1">
      <alignment horizontal="center"/>
    </xf>
    <xf numFmtId="0" fontId="9" fillId="3" borderId="15" xfId="0" applyFont="1" applyFill="1" applyBorder="1" applyAlignment="1">
      <alignment horizontal="center" vertical="center" wrapText="1"/>
    </xf>
    <xf numFmtId="0" fontId="9" fillId="3" borderId="18" xfId="0" applyFont="1" applyFill="1" applyBorder="1" applyAlignment="1">
      <alignment horizontal="center" vertical="center" wrapText="1"/>
    </xf>
    <xf numFmtId="0" fontId="9" fillId="3" borderId="20" xfId="0" applyFont="1" applyFill="1" applyBorder="1" applyAlignment="1">
      <alignment horizontal="center" vertical="center" wrapText="1"/>
    </xf>
    <xf numFmtId="0" fontId="4" fillId="8" borderId="25" xfId="0" applyFont="1" applyFill="1" applyBorder="1" applyAlignment="1">
      <alignment horizontal="center"/>
    </xf>
    <xf numFmtId="0" fontId="4" fillId="8" borderId="26" xfId="0" applyFont="1" applyFill="1" applyBorder="1" applyAlignment="1">
      <alignment horizontal="center"/>
    </xf>
    <xf numFmtId="0" fontId="11" fillId="3" borderId="18" xfId="0" applyFont="1" applyFill="1" applyBorder="1" applyAlignment="1">
      <alignment horizontal="center" vertical="center" wrapText="1"/>
    </xf>
    <xf numFmtId="0" fontId="9" fillId="9" borderId="25" xfId="0" applyFont="1" applyFill="1" applyBorder="1" applyAlignment="1">
      <alignment horizontal="center" vertical="center"/>
    </xf>
    <xf numFmtId="0" fontId="9" fillId="9" borderId="26" xfId="0" applyFont="1" applyFill="1" applyBorder="1" applyAlignment="1">
      <alignment horizontal="center" vertical="center"/>
    </xf>
    <xf numFmtId="0" fontId="0" fillId="3" borderId="12" xfId="0" applyFill="1" applyBorder="1" applyAlignment="1">
      <alignment horizontal="center"/>
    </xf>
    <xf numFmtId="0" fontId="0" fillId="4" borderId="12" xfId="0" applyFill="1" applyBorder="1" applyAlignment="1">
      <alignment horizontal="center"/>
    </xf>
  </cellXfs>
  <cellStyles count="3">
    <cellStyle name="Moeda" xfId="1" builtinId="4"/>
    <cellStyle name="Normal" xfId="0" builtinId="0"/>
    <cellStyle name="Porcentagem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'EXERCÍCIOS (resolvido)'!$B$35:$C$35</c:f>
              <c:strCache>
                <c:ptCount val="2"/>
                <c:pt idx="0">
                  <c:v>% Retrabalho Mensal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'EXERCÍCIOS (resolvido)'!$D$34:$O$34</c:f>
              <c:strCache>
                <c:ptCount val="12"/>
                <c:pt idx="0">
                  <c:v>Janeiro</c:v>
                </c:pt>
                <c:pt idx="1">
                  <c:v>Fevereiro</c:v>
                </c:pt>
                <c:pt idx="2">
                  <c:v>Março</c:v>
                </c:pt>
                <c:pt idx="3">
                  <c:v>Abril</c:v>
                </c:pt>
                <c:pt idx="4">
                  <c:v>Maio</c:v>
                </c:pt>
                <c:pt idx="5">
                  <c:v>Junho</c:v>
                </c:pt>
                <c:pt idx="6">
                  <c:v>Julho</c:v>
                </c:pt>
                <c:pt idx="7">
                  <c:v>Agosto</c:v>
                </c:pt>
                <c:pt idx="8">
                  <c:v>Setembro</c:v>
                </c:pt>
                <c:pt idx="9">
                  <c:v>Outubro</c:v>
                </c:pt>
                <c:pt idx="10">
                  <c:v>Novembro</c:v>
                </c:pt>
                <c:pt idx="11">
                  <c:v>Dezembro</c:v>
                </c:pt>
              </c:strCache>
            </c:strRef>
          </c:cat>
          <c:val>
            <c:numRef>
              <c:f>'EXERCÍCIOS (resolvido)'!$D$35:$O$35</c:f>
              <c:numCache>
                <c:formatCode>0%</c:formatCode>
                <c:ptCount val="12"/>
                <c:pt idx="0">
                  <c:v>2.4590163934426229E-2</c:v>
                </c:pt>
                <c:pt idx="1">
                  <c:v>5.46875E-2</c:v>
                </c:pt>
                <c:pt idx="2">
                  <c:v>3.0534351145038167E-2</c:v>
                </c:pt>
                <c:pt idx="3">
                  <c:v>4.9180327868852458E-2</c:v>
                </c:pt>
                <c:pt idx="4">
                  <c:v>6.6666666666666666E-2</c:v>
                </c:pt>
                <c:pt idx="5">
                  <c:v>7.857142857142857E-2</c:v>
                </c:pt>
                <c:pt idx="6">
                  <c:v>0.10101010101010101</c:v>
                </c:pt>
                <c:pt idx="7">
                  <c:v>4.3103448275862072E-2</c:v>
                </c:pt>
                <c:pt idx="8">
                  <c:v>3.3557046979865772E-2</c:v>
                </c:pt>
                <c:pt idx="9">
                  <c:v>6.5040650406504072E-2</c:v>
                </c:pt>
                <c:pt idx="10">
                  <c:v>1.4388489208633094E-2</c:v>
                </c:pt>
                <c:pt idx="11">
                  <c:v>5.128205128205128E-2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F22-4274-BDA0-11337F0A89A4}"/>
            </c:ext>
          </c:extLst>
        </c:ser>
        <c:ser>
          <c:idx val="1"/>
          <c:order val="1"/>
          <c:tx>
            <c:strRef>
              <c:f>'EXERCÍCIOS (resolvido)'!$B$36:$C$36</c:f>
              <c:strCache>
                <c:ptCount val="2"/>
                <c:pt idx="0">
                  <c:v>% Retrabalho YTD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'EXERCÍCIOS (resolvido)'!$D$34:$O$34</c:f>
              <c:strCache>
                <c:ptCount val="12"/>
                <c:pt idx="0">
                  <c:v>Janeiro</c:v>
                </c:pt>
                <c:pt idx="1">
                  <c:v>Fevereiro</c:v>
                </c:pt>
                <c:pt idx="2">
                  <c:v>Março</c:v>
                </c:pt>
                <c:pt idx="3">
                  <c:v>Abril</c:v>
                </c:pt>
                <c:pt idx="4">
                  <c:v>Maio</c:v>
                </c:pt>
                <c:pt idx="5">
                  <c:v>Junho</c:v>
                </c:pt>
                <c:pt idx="6">
                  <c:v>Julho</c:v>
                </c:pt>
                <c:pt idx="7">
                  <c:v>Agosto</c:v>
                </c:pt>
                <c:pt idx="8">
                  <c:v>Setembro</c:v>
                </c:pt>
                <c:pt idx="9">
                  <c:v>Outubro</c:v>
                </c:pt>
                <c:pt idx="10">
                  <c:v>Novembro</c:v>
                </c:pt>
                <c:pt idx="11">
                  <c:v>Dezembro</c:v>
                </c:pt>
              </c:strCache>
            </c:strRef>
          </c:cat>
          <c:val>
            <c:numRef>
              <c:f>'EXERCÍCIOS (resolvido)'!$D$36:$O$36</c:f>
              <c:numCache>
                <c:formatCode>0%</c:formatCode>
                <c:ptCount val="12"/>
                <c:pt idx="0">
                  <c:v>2.4590163934426229E-2</c:v>
                </c:pt>
                <c:pt idx="1">
                  <c:v>3.9638831967213115E-2</c:v>
                </c:pt>
                <c:pt idx="2">
                  <c:v>3.6604005026488133E-2</c:v>
                </c:pt>
                <c:pt idx="3">
                  <c:v>3.9748085737079213E-2</c:v>
                </c:pt>
                <c:pt idx="4">
                  <c:v>4.5131801922996706E-2</c:v>
                </c:pt>
                <c:pt idx="5">
                  <c:v>5.0705073031068686E-2</c:v>
                </c:pt>
                <c:pt idx="6">
                  <c:v>5.7891505599501868E-2</c:v>
                </c:pt>
                <c:pt idx="7">
                  <c:v>5.6042998434046892E-2</c:v>
                </c:pt>
                <c:pt idx="8">
                  <c:v>5.3544559383582324E-2</c:v>
                </c:pt>
                <c:pt idx="9">
                  <c:v>5.4694168485874495E-2</c:v>
                </c:pt>
                <c:pt idx="10">
                  <c:v>5.10300158243071E-2</c:v>
                </c:pt>
                <c:pt idx="11">
                  <c:v>5.1051018779119113E-2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8F22-4274-BDA0-11337F0A89A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85025200"/>
        <c:axId val="185024784"/>
      </c:barChart>
      <c:catAx>
        <c:axId val="18502520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85024784"/>
        <c:crosses val="autoZero"/>
        <c:auto val="1"/>
        <c:lblAlgn val="ctr"/>
        <c:lblOffset val="100"/>
        <c:noMultiLvlLbl val="0"/>
      </c:catAx>
      <c:valAx>
        <c:axId val="1850247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8502520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.xml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114300</xdr:colOff>
      <xdr:row>1</xdr:row>
      <xdr:rowOff>180975</xdr:rowOff>
    </xdr:from>
    <xdr:to>
      <xdr:col>4</xdr:col>
      <xdr:colOff>424451</xdr:colOff>
      <xdr:row>5</xdr:row>
      <xdr:rowOff>28575</xdr:rowOff>
    </xdr:to>
    <xdr:pic>
      <xdr:nvPicPr>
        <xdr:cNvPr id="2" name="Imagem 1" descr="LOGO.bmp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23900" y="371475"/>
          <a:ext cx="2138951" cy="60960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114300</xdr:colOff>
      <xdr:row>1</xdr:row>
      <xdr:rowOff>180975</xdr:rowOff>
    </xdr:from>
    <xdr:to>
      <xdr:col>4</xdr:col>
      <xdr:colOff>329201</xdr:colOff>
      <xdr:row>5</xdr:row>
      <xdr:rowOff>28575</xdr:rowOff>
    </xdr:to>
    <xdr:pic>
      <xdr:nvPicPr>
        <xdr:cNvPr id="2" name="Imagem 1" descr="LOGO.bmp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23900" y="371475"/>
          <a:ext cx="2138951" cy="609600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114300</xdr:colOff>
      <xdr:row>1</xdr:row>
      <xdr:rowOff>180975</xdr:rowOff>
    </xdr:from>
    <xdr:to>
      <xdr:col>4</xdr:col>
      <xdr:colOff>424451</xdr:colOff>
      <xdr:row>5</xdr:row>
      <xdr:rowOff>28575</xdr:rowOff>
    </xdr:to>
    <xdr:pic>
      <xdr:nvPicPr>
        <xdr:cNvPr id="2" name="Imagem 1" descr="LOGO.bmp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23900" y="371475"/>
          <a:ext cx="2138951" cy="609600"/>
        </a:xfrm>
        <a:prstGeom prst="rect">
          <a:avLst/>
        </a:prstGeom>
      </xdr:spPr>
    </xdr:pic>
    <xdr:clientData/>
  </xdr:twoCellAnchor>
  <xdr:twoCellAnchor editAs="oneCell">
    <xdr:from>
      <xdr:col>1</xdr:col>
      <xdr:colOff>552450</xdr:colOff>
      <xdr:row>7</xdr:row>
      <xdr:rowOff>114300</xdr:rowOff>
    </xdr:from>
    <xdr:to>
      <xdr:col>4</xdr:col>
      <xdr:colOff>542925</xdr:colOff>
      <xdr:row>9</xdr:row>
      <xdr:rowOff>141709</xdr:rowOff>
    </xdr:to>
    <xdr:pic>
      <xdr:nvPicPr>
        <xdr:cNvPr id="3" name="Imagem 2" descr="http://www.pepsico.com.br/images/logo_pepsico.png"/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62050" y="1257300"/>
          <a:ext cx="1819275" cy="40840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114300</xdr:colOff>
      <xdr:row>1</xdr:row>
      <xdr:rowOff>180975</xdr:rowOff>
    </xdr:from>
    <xdr:to>
      <xdr:col>4</xdr:col>
      <xdr:colOff>424451</xdr:colOff>
      <xdr:row>5</xdr:row>
      <xdr:rowOff>28575</xdr:rowOff>
    </xdr:to>
    <xdr:pic>
      <xdr:nvPicPr>
        <xdr:cNvPr id="2" name="Imagem 1" descr="LOGO.bmp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23900" y="371475"/>
          <a:ext cx="2138951" cy="609600"/>
        </a:xfrm>
        <a:prstGeom prst="rect">
          <a:avLst/>
        </a:prstGeom>
      </xdr:spPr>
    </xdr:pic>
    <xdr:clientData/>
  </xdr:twoCellAnchor>
  <xdr:twoCellAnchor editAs="oneCell">
    <xdr:from>
      <xdr:col>1</xdr:col>
      <xdr:colOff>552450</xdr:colOff>
      <xdr:row>7</xdr:row>
      <xdr:rowOff>114300</xdr:rowOff>
    </xdr:from>
    <xdr:to>
      <xdr:col>4</xdr:col>
      <xdr:colOff>542925</xdr:colOff>
      <xdr:row>9</xdr:row>
      <xdr:rowOff>141709</xdr:rowOff>
    </xdr:to>
    <xdr:pic>
      <xdr:nvPicPr>
        <xdr:cNvPr id="3" name="Imagem 2" descr="http://www.pepsico.com.br/images/logo_pepsico.png"/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62050" y="1447800"/>
          <a:ext cx="1819275" cy="40840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0</xdr:col>
      <xdr:colOff>600075</xdr:colOff>
      <xdr:row>36</xdr:row>
      <xdr:rowOff>152400</xdr:rowOff>
    </xdr:from>
    <xdr:to>
      <xdr:col>14</xdr:col>
      <xdr:colOff>600075</xdr:colOff>
      <xdr:row>46</xdr:row>
      <xdr:rowOff>152400</xdr:rowOff>
    </xdr:to>
    <xdr:graphicFrame macro="">
      <xdr:nvGraphicFramePr>
        <xdr:cNvPr id="4" name="Gráfico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Q11"/>
  <sheetViews>
    <sheetView showGridLines="0" tabSelected="1" workbookViewId="0">
      <selection activeCell="B12" sqref="B12"/>
    </sheetView>
  </sheetViews>
  <sheetFormatPr defaultRowHeight="15" x14ac:dyDescent="0.25"/>
  <sheetData>
    <row r="2" spans="2:17" x14ac:dyDescent="0.25">
      <c r="B2" s="67" t="s">
        <v>1</v>
      </c>
      <c r="C2" s="68"/>
      <c r="D2" s="68"/>
      <c r="E2" s="68"/>
      <c r="F2" s="68"/>
      <c r="G2" s="68"/>
      <c r="H2" s="68"/>
      <c r="I2" s="68"/>
      <c r="J2" s="68"/>
      <c r="K2" s="68"/>
      <c r="L2" s="68"/>
      <c r="M2" s="68"/>
      <c r="N2" s="68"/>
      <c r="O2" s="68"/>
      <c r="P2" s="68"/>
      <c r="Q2" s="69"/>
    </row>
    <row r="3" spans="2:17" x14ac:dyDescent="0.25">
      <c r="B3" s="70"/>
      <c r="C3" s="71"/>
      <c r="D3" s="71"/>
      <c r="E3" s="71"/>
      <c r="F3" s="71"/>
      <c r="G3" s="71"/>
      <c r="H3" s="71"/>
      <c r="I3" s="71"/>
      <c r="J3" s="71"/>
      <c r="K3" s="71"/>
      <c r="L3" s="71"/>
      <c r="M3" s="71"/>
      <c r="N3" s="71"/>
      <c r="O3" s="71"/>
      <c r="P3" s="71"/>
      <c r="Q3" s="72"/>
    </row>
    <row r="4" spans="2:17" x14ac:dyDescent="0.25">
      <c r="B4" s="70"/>
      <c r="C4" s="71"/>
      <c r="D4" s="71"/>
      <c r="E4" s="71"/>
      <c r="F4" s="71"/>
      <c r="G4" s="71"/>
      <c r="H4" s="71"/>
      <c r="I4" s="71"/>
      <c r="J4" s="71"/>
      <c r="K4" s="71"/>
      <c r="L4" s="71"/>
      <c r="M4" s="71"/>
      <c r="N4" s="71"/>
      <c r="O4" s="71"/>
      <c r="P4" s="71"/>
      <c r="Q4" s="72"/>
    </row>
    <row r="5" spans="2:17" x14ac:dyDescent="0.25">
      <c r="B5" s="70"/>
      <c r="C5" s="71"/>
      <c r="D5" s="71"/>
      <c r="E5" s="71"/>
      <c r="F5" s="71"/>
      <c r="G5" s="71"/>
      <c r="H5" s="71"/>
      <c r="I5" s="71"/>
      <c r="J5" s="71"/>
      <c r="K5" s="71"/>
      <c r="L5" s="71"/>
      <c r="M5" s="71"/>
      <c r="N5" s="71"/>
      <c r="O5" s="71"/>
      <c r="P5" s="71"/>
      <c r="Q5" s="72"/>
    </row>
    <row r="6" spans="2:17" x14ac:dyDescent="0.25">
      <c r="B6" s="73"/>
      <c r="C6" s="74"/>
      <c r="D6" s="74"/>
      <c r="E6" s="74"/>
      <c r="F6" s="74"/>
      <c r="G6" s="74"/>
      <c r="H6" s="74"/>
      <c r="I6" s="74"/>
      <c r="J6" s="74"/>
      <c r="K6" s="74"/>
      <c r="L6" s="74"/>
      <c r="M6" s="74"/>
      <c r="N6" s="74"/>
      <c r="O6" s="74"/>
      <c r="P6" s="74"/>
      <c r="Q6" s="75"/>
    </row>
    <row r="8" spans="2:17" x14ac:dyDescent="0.25">
      <c r="B8" s="1" t="s">
        <v>0</v>
      </c>
    </row>
    <row r="9" spans="2:17" x14ac:dyDescent="0.25">
      <c r="B9" t="s">
        <v>2</v>
      </c>
    </row>
    <row r="10" spans="2:17" x14ac:dyDescent="0.25">
      <c r="B10" t="s">
        <v>3</v>
      </c>
    </row>
    <row r="11" spans="2:17" x14ac:dyDescent="0.25">
      <c r="B11" t="s">
        <v>4</v>
      </c>
    </row>
  </sheetData>
  <mergeCells count="1">
    <mergeCell ref="B2:Q6"/>
  </mergeCells>
  <pageMargins left="0.511811024" right="0.511811024" top="0.78740157499999996" bottom="0.78740157499999996" header="0.31496062000000002" footer="0.31496062000000002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Q18"/>
  <sheetViews>
    <sheetView showGridLines="0" workbookViewId="0">
      <selection activeCell="G8" sqref="G8"/>
    </sheetView>
  </sheetViews>
  <sheetFormatPr defaultRowHeight="15" x14ac:dyDescent="0.25"/>
  <cols>
    <col min="4" max="4" width="10.5703125" bestFit="1" customWidth="1"/>
  </cols>
  <sheetData>
    <row r="2" spans="2:17" x14ac:dyDescent="0.25">
      <c r="B2" s="67" t="str">
        <f>CONTEÚDO!B2</f>
        <v>AULA 29 - GRÁFICOS AVANÇADOS</v>
      </c>
      <c r="C2" s="68"/>
      <c r="D2" s="68"/>
      <c r="E2" s="68"/>
      <c r="F2" s="68"/>
      <c r="G2" s="68"/>
      <c r="H2" s="68"/>
      <c r="I2" s="68"/>
      <c r="J2" s="68"/>
      <c r="K2" s="68"/>
      <c r="L2" s="68"/>
      <c r="M2" s="68"/>
      <c r="N2" s="68"/>
      <c r="O2" s="68"/>
      <c r="P2" s="68"/>
      <c r="Q2" s="69"/>
    </row>
    <row r="3" spans="2:17" x14ac:dyDescent="0.25">
      <c r="B3" s="70"/>
      <c r="C3" s="71"/>
      <c r="D3" s="71"/>
      <c r="E3" s="71"/>
      <c r="F3" s="71"/>
      <c r="G3" s="71"/>
      <c r="H3" s="71"/>
      <c r="I3" s="71"/>
      <c r="J3" s="71"/>
      <c r="K3" s="71"/>
      <c r="L3" s="71"/>
      <c r="M3" s="71"/>
      <c r="N3" s="71"/>
      <c r="O3" s="71"/>
      <c r="P3" s="71"/>
      <c r="Q3" s="72"/>
    </row>
    <row r="4" spans="2:17" x14ac:dyDescent="0.25">
      <c r="B4" s="70"/>
      <c r="C4" s="71"/>
      <c r="D4" s="71"/>
      <c r="E4" s="71"/>
      <c r="F4" s="71"/>
      <c r="G4" s="71"/>
      <c r="H4" s="71"/>
      <c r="I4" s="71"/>
      <c r="J4" s="71"/>
      <c r="K4" s="71"/>
      <c r="L4" s="71"/>
      <c r="M4" s="71"/>
      <c r="N4" s="71"/>
      <c r="O4" s="71"/>
      <c r="P4" s="71"/>
      <c r="Q4" s="72"/>
    </row>
    <row r="5" spans="2:17" x14ac:dyDescent="0.25">
      <c r="B5" s="70"/>
      <c r="C5" s="71"/>
      <c r="D5" s="71"/>
      <c r="E5" s="71"/>
      <c r="F5" s="71"/>
      <c r="G5" s="71"/>
      <c r="H5" s="71"/>
      <c r="I5" s="71"/>
      <c r="J5" s="71"/>
      <c r="K5" s="71"/>
      <c r="L5" s="71"/>
      <c r="M5" s="71"/>
      <c r="N5" s="71"/>
      <c r="O5" s="71"/>
      <c r="P5" s="71"/>
      <c r="Q5" s="72"/>
    </row>
    <row r="6" spans="2:17" x14ac:dyDescent="0.25">
      <c r="B6" s="73"/>
      <c r="C6" s="74"/>
      <c r="D6" s="74"/>
      <c r="E6" s="74"/>
      <c r="F6" s="74"/>
      <c r="G6" s="74"/>
      <c r="H6" s="74"/>
      <c r="I6" s="74"/>
      <c r="J6" s="74"/>
      <c r="K6" s="74"/>
      <c r="L6" s="74"/>
      <c r="M6" s="74"/>
      <c r="N6" s="74"/>
      <c r="O6" s="74"/>
      <c r="P6" s="74"/>
      <c r="Q6" s="75"/>
    </row>
    <row r="8" spans="2:17" x14ac:dyDescent="0.25">
      <c r="B8" s="1" t="s">
        <v>11</v>
      </c>
    </row>
    <row r="9" spans="2:17" x14ac:dyDescent="0.25">
      <c r="B9" s="1"/>
    </row>
    <row r="10" spans="2:17" x14ac:dyDescent="0.25">
      <c r="B10" s="13" t="s">
        <v>14</v>
      </c>
      <c r="C10" s="14" t="s">
        <v>13</v>
      </c>
      <c r="D10" s="15" t="s">
        <v>12</v>
      </c>
    </row>
    <row r="11" spans="2:17" x14ac:dyDescent="0.25">
      <c r="B11" s="4" t="s">
        <v>5</v>
      </c>
      <c r="C11" s="5" t="s">
        <v>6</v>
      </c>
      <c r="D11" s="6">
        <v>32</v>
      </c>
    </row>
    <row r="12" spans="2:17" x14ac:dyDescent="0.25">
      <c r="B12" s="7" t="s">
        <v>7</v>
      </c>
      <c r="C12" s="8" t="s">
        <v>6</v>
      </c>
      <c r="D12" s="9">
        <v>365</v>
      </c>
    </row>
    <row r="13" spans="2:17" x14ac:dyDescent="0.25">
      <c r="B13" s="7" t="s">
        <v>8</v>
      </c>
      <c r="C13" s="8" t="s">
        <v>6</v>
      </c>
      <c r="D13" s="9">
        <v>900</v>
      </c>
    </row>
    <row r="14" spans="2:17" x14ac:dyDescent="0.25">
      <c r="B14" s="7" t="s">
        <v>9</v>
      </c>
      <c r="C14" s="8" t="s">
        <v>6</v>
      </c>
      <c r="D14" s="9">
        <v>120</v>
      </c>
    </row>
    <row r="15" spans="2:17" x14ac:dyDescent="0.25">
      <c r="B15" s="7" t="s">
        <v>5</v>
      </c>
      <c r="C15" s="8" t="s">
        <v>10</v>
      </c>
      <c r="D15" s="9">
        <v>123</v>
      </c>
    </row>
    <row r="16" spans="2:17" x14ac:dyDescent="0.25">
      <c r="B16" s="7" t="s">
        <v>7</v>
      </c>
      <c r="C16" s="8" t="s">
        <v>10</v>
      </c>
      <c r="D16" s="9">
        <v>230</v>
      </c>
    </row>
    <row r="17" spans="2:4" x14ac:dyDescent="0.25">
      <c r="B17" s="7" t="s">
        <v>8</v>
      </c>
      <c r="C17" s="8" t="s">
        <v>10</v>
      </c>
      <c r="D17" s="9">
        <v>459</v>
      </c>
    </row>
    <row r="18" spans="2:4" x14ac:dyDescent="0.25">
      <c r="B18" s="10" t="s">
        <v>9</v>
      </c>
      <c r="C18" s="11" t="s">
        <v>10</v>
      </c>
      <c r="D18" s="12">
        <v>133</v>
      </c>
    </row>
  </sheetData>
  <mergeCells count="1">
    <mergeCell ref="B2:Q6"/>
  </mergeCells>
  <pageMargins left="0.511811024" right="0.511811024" top="0.78740157499999996" bottom="0.78740157499999996" header="0.31496062000000002" footer="0.31496062000000002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T36"/>
  <sheetViews>
    <sheetView showGridLines="0" workbookViewId="0">
      <selection activeCell="O11" sqref="O11"/>
    </sheetView>
  </sheetViews>
  <sheetFormatPr defaultRowHeight="15" x14ac:dyDescent="0.25"/>
  <cols>
    <col min="19" max="19" width="15.28515625" bestFit="1" customWidth="1"/>
  </cols>
  <sheetData>
    <row r="2" spans="2:19" x14ac:dyDescent="0.25">
      <c r="B2" s="67" t="str">
        <f>CONTEÚDO!B2</f>
        <v>AULA 29 - GRÁFICOS AVANÇADOS</v>
      </c>
      <c r="C2" s="68"/>
      <c r="D2" s="68"/>
      <c r="E2" s="68"/>
      <c r="F2" s="68"/>
      <c r="G2" s="68"/>
      <c r="H2" s="68"/>
      <c r="I2" s="68"/>
      <c r="J2" s="68"/>
      <c r="K2" s="68"/>
      <c r="L2" s="68"/>
      <c r="M2" s="68"/>
      <c r="N2" s="68"/>
      <c r="O2" s="68"/>
      <c r="P2" s="68"/>
      <c r="Q2" s="69"/>
    </row>
    <row r="3" spans="2:19" x14ac:dyDescent="0.25">
      <c r="B3" s="70"/>
      <c r="C3" s="71"/>
      <c r="D3" s="71"/>
      <c r="E3" s="71"/>
      <c r="F3" s="71"/>
      <c r="G3" s="71"/>
      <c r="H3" s="71"/>
      <c r="I3" s="71"/>
      <c r="J3" s="71"/>
      <c r="K3" s="71"/>
      <c r="L3" s="71"/>
      <c r="M3" s="71"/>
      <c r="N3" s="71"/>
      <c r="O3" s="71"/>
      <c r="P3" s="71"/>
      <c r="Q3" s="72"/>
    </row>
    <row r="4" spans="2:19" x14ac:dyDescent="0.25">
      <c r="B4" s="70"/>
      <c r="C4" s="71"/>
      <c r="D4" s="71"/>
      <c r="E4" s="71"/>
      <c r="F4" s="71"/>
      <c r="G4" s="71"/>
      <c r="H4" s="71"/>
      <c r="I4" s="71"/>
      <c r="J4" s="71"/>
      <c r="K4" s="71"/>
      <c r="L4" s="71"/>
      <c r="M4" s="71"/>
      <c r="N4" s="71"/>
      <c r="O4" s="71"/>
      <c r="P4" s="71"/>
      <c r="Q4" s="72"/>
    </row>
    <row r="5" spans="2:19" x14ac:dyDescent="0.25">
      <c r="B5" s="70"/>
      <c r="C5" s="71"/>
      <c r="D5" s="71"/>
      <c r="E5" s="71"/>
      <c r="F5" s="71"/>
      <c r="G5" s="71"/>
      <c r="H5" s="71"/>
      <c r="I5" s="71"/>
      <c r="J5" s="71"/>
      <c r="K5" s="71"/>
      <c r="L5" s="71"/>
      <c r="M5" s="71"/>
      <c r="N5" s="71"/>
      <c r="O5" s="71"/>
      <c r="P5" s="71"/>
      <c r="Q5" s="72"/>
    </row>
    <row r="6" spans="2:19" x14ac:dyDescent="0.25">
      <c r="B6" s="73"/>
      <c r="C6" s="74"/>
      <c r="D6" s="74"/>
      <c r="E6" s="74"/>
      <c r="F6" s="74"/>
      <c r="G6" s="74"/>
      <c r="H6" s="74"/>
      <c r="I6" s="74"/>
      <c r="J6" s="74"/>
      <c r="K6" s="74"/>
      <c r="L6" s="74"/>
      <c r="M6" s="74"/>
      <c r="N6" s="74"/>
      <c r="O6" s="74"/>
      <c r="P6" s="74"/>
      <c r="Q6" s="75"/>
    </row>
    <row r="7" spans="2:19" ht="15" customHeight="1" x14ac:dyDescent="0.25"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</row>
    <row r="8" spans="2:19" x14ac:dyDescent="0.25">
      <c r="B8" s="4"/>
      <c r="C8" s="5"/>
      <c r="D8" s="5"/>
      <c r="E8" s="63"/>
    </row>
    <row r="9" spans="2:19" x14ac:dyDescent="0.25">
      <c r="B9" s="64" t="s">
        <v>53</v>
      </c>
      <c r="C9" s="8"/>
      <c r="D9" s="8"/>
      <c r="E9" s="65"/>
    </row>
    <row r="10" spans="2:19" x14ac:dyDescent="0.25">
      <c r="B10" s="10"/>
      <c r="C10" s="11"/>
      <c r="D10" s="11"/>
      <c r="E10" s="66"/>
    </row>
    <row r="11" spans="2:19" x14ac:dyDescent="0.25">
      <c r="B11" s="8"/>
      <c r="C11" s="8"/>
      <c r="D11" s="8"/>
      <c r="E11" s="8"/>
    </row>
    <row r="12" spans="2:19" ht="15.75" x14ac:dyDescent="0.25">
      <c r="B12" s="16" t="s">
        <v>15</v>
      </c>
    </row>
    <row r="13" spans="2:19" x14ac:dyDescent="0.25">
      <c r="B13" s="17"/>
      <c r="M13" s="85" t="s">
        <v>16</v>
      </c>
      <c r="N13" s="85"/>
      <c r="O13" s="86"/>
      <c r="P13" s="86"/>
      <c r="S13" s="1"/>
    </row>
    <row r="14" spans="2:19" ht="15.75" thickBot="1" x14ac:dyDescent="0.3">
      <c r="D14" s="18"/>
      <c r="E14" s="18">
        <v>2</v>
      </c>
      <c r="F14" s="18">
        <v>3</v>
      </c>
      <c r="G14" s="18">
        <v>4</v>
      </c>
      <c r="H14" s="18">
        <v>5</v>
      </c>
      <c r="I14" s="18">
        <v>6</v>
      </c>
      <c r="J14" s="18">
        <v>7</v>
      </c>
      <c r="K14" s="18">
        <v>8</v>
      </c>
      <c r="L14" s="18">
        <v>9</v>
      </c>
      <c r="M14" s="18">
        <v>10</v>
      </c>
      <c r="N14" s="18">
        <v>11</v>
      </c>
      <c r="O14" s="18">
        <v>12</v>
      </c>
      <c r="P14" s="18">
        <v>13</v>
      </c>
      <c r="Q14" s="18">
        <v>14</v>
      </c>
    </row>
    <row r="15" spans="2:19" ht="15.75" thickBot="1" x14ac:dyDescent="0.3">
      <c r="B15" s="19">
        <f>IF(($C$9/4)=INT($C$9/4),1,0)</f>
        <v>1</v>
      </c>
      <c r="C15" s="20" t="s">
        <v>18</v>
      </c>
      <c r="D15" s="21" t="s">
        <v>19</v>
      </c>
      <c r="E15" s="21" t="s">
        <v>20</v>
      </c>
      <c r="F15" s="21" t="s">
        <v>21</v>
      </c>
      <c r="G15" s="21" t="s">
        <v>22</v>
      </c>
      <c r="H15" s="21" t="s">
        <v>23</v>
      </c>
      <c r="I15" s="21" t="s">
        <v>24</v>
      </c>
      <c r="J15" s="21" t="s">
        <v>25</v>
      </c>
      <c r="K15" s="21" t="s">
        <v>26</v>
      </c>
      <c r="L15" s="21" t="s">
        <v>27</v>
      </c>
      <c r="M15" s="21" t="s">
        <v>28</v>
      </c>
      <c r="N15" s="21" t="s">
        <v>29</v>
      </c>
      <c r="O15" s="22" t="s">
        <v>30</v>
      </c>
      <c r="P15" s="23" t="s">
        <v>16</v>
      </c>
    </row>
    <row r="16" spans="2:19" x14ac:dyDescent="0.25">
      <c r="B16" s="77" t="s">
        <v>32</v>
      </c>
      <c r="C16" s="24" t="s">
        <v>17</v>
      </c>
      <c r="D16" s="49">
        <v>11</v>
      </c>
      <c r="E16" s="49">
        <v>15</v>
      </c>
      <c r="F16" s="49">
        <v>3</v>
      </c>
      <c r="G16" s="49">
        <v>12</v>
      </c>
      <c r="H16" s="49">
        <v>3</v>
      </c>
      <c r="I16" s="49">
        <v>12</v>
      </c>
      <c r="J16" s="49">
        <v>4</v>
      </c>
      <c r="K16" s="49">
        <v>5</v>
      </c>
      <c r="L16" s="49">
        <v>6</v>
      </c>
      <c r="M16" s="49">
        <v>6</v>
      </c>
      <c r="N16" s="49">
        <v>7</v>
      </c>
      <c r="O16" s="50">
        <v>12</v>
      </c>
      <c r="P16" s="25"/>
    </row>
    <row r="17" spans="2:20" x14ac:dyDescent="0.25">
      <c r="B17" s="78"/>
      <c r="C17" s="26" t="s">
        <v>31</v>
      </c>
      <c r="D17" s="51">
        <v>13</v>
      </c>
      <c r="E17" s="51">
        <v>7</v>
      </c>
      <c r="F17" s="51">
        <v>15</v>
      </c>
      <c r="G17" s="51">
        <v>14</v>
      </c>
      <c r="H17" s="51">
        <v>6</v>
      </c>
      <c r="I17" s="51">
        <v>7</v>
      </c>
      <c r="J17" s="51">
        <v>5</v>
      </c>
      <c r="K17" s="51">
        <v>15</v>
      </c>
      <c r="L17" s="51">
        <v>2</v>
      </c>
      <c r="M17" s="51">
        <v>13</v>
      </c>
      <c r="N17" s="51">
        <v>17</v>
      </c>
      <c r="O17" s="52">
        <v>9</v>
      </c>
      <c r="P17" s="27"/>
      <c r="Q17" s="28"/>
    </row>
    <row r="18" spans="2:20" ht="15.75" thickBot="1" x14ac:dyDescent="0.3">
      <c r="B18" s="79"/>
      <c r="C18" s="29" t="s">
        <v>33</v>
      </c>
      <c r="D18" s="53">
        <v>15</v>
      </c>
      <c r="E18" s="53">
        <v>6</v>
      </c>
      <c r="F18" s="53">
        <v>12</v>
      </c>
      <c r="G18" s="53">
        <v>5</v>
      </c>
      <c r="H18" s="53">
        <v>8</v>
      </c>
      <c r="I18" s="53">
        <v>3</v>
      </c>
      <c r="J18" s="53">
        <v>9</v>
      </c>
      <c r="K18" s="53">
        <v>1</v>
      </c>
      <c r="L18" s="53">
        <v>12</v>
      </c>
      <c r="M18" s="53">
        <v>1</v>
      </c>
      <c r="N18" s="53">
        <v>10</v>
      </c>
      <c r="O18" s="54">
        <v>5</v>
      </c>
      <c r="P18" s="30"/>
      <c r="Q18" s="28"/>
      <c r="S18" s="31" t="s">
        <v>34</v>
      </c>
      <c r="T18" s="31" t="s">
        <v>35</v>
      </c>
    </row>
    <row r="19" spans="2:20" x14ac:dyDescent="0.25">
      <c r="B19" s="77" t="s">
        <v>36</v>
      </c>
      <c r="C19" s="32" t="str">
        <f>IF(C16="","NA",C16)</f>
        <v>João</v>
      </c>
      <c r="D19" s="49">
        <v>11</v>
      </c>
      <c r="E19" s="49">
        <v>15</v>
      </c>
      <c r="F19" s="49">
        <v>12</v>
      </c>
      <c r="G19" s="49">
        <v>2</v>
      </c>
      <c r="H19" s="49">
        <v>15</v>
      </c>
      <c r="I19" s="49">
        <v>19</v>
      </c>
      <c r="J19" s="49">
        <v>1</v>
      </c>
      <c r="K19" s="49">
        <v>10</v>
      </c>
      <c r="L19" s="49">
        <v>19</v>
      </c>
      <c r="M19" s="49">
        <v>7</v>
      </c>
      <c r="N19" s="49">
        <v>18</v>
      </c>
      <c r="O19" s="50">
        <v>8</v>
      </c>
      <c r="P19" s="25"/>
      <c r="Q19" s="28"/>
      <c r="S19" s="33" t="s">
        <v>37</v>
      </c>
      <c r="T19" s="33">
        <v>101</v>
      </c>
    </row>
    <row r="20" spans="2:20" x14ac:dyDescent="0.25">
      <c r="B20" s="78"/>
      <c r="C20" s="34" t="str">
        <f t="shared" ref="C20:C27" si="0">IF(C17="","NA",C17)</f>
        <v>Maria</v>
      </c>
      <c r="D20" s="51">
        <v>11</v>
      </c>
      <c r="E20" s="51">
        <v>7</v>
      </c>
      <c r="F20" s="51">
        <v>7</v>
      </c>
      <c r="G20" s="51">
        <v>6</v>
      </c>
      <c r="H20" s="51">
        <v>6</v>
      </c>
      <c r="I20" s="51">
        <v>11</v>
      </c>
      <c r="J20" s="51">
        <v>4</v>
      </c>
      <c r="K20" s="51">
        <v>14</v>
      </c>
      <c r="L20" s="51">
        <v>11</v>
      </c>
      <c r="M20" s="51">
        <v>17</v>
      </c>
      <c r="N20" s="51">
        <v>11</v>
      </c>
      <c r="O20" s="52">
        <v>18</v>
      </c>
      <c r="P20" s="27"/>
      <c r="Q20" s="28"/>
      <c r="S20" s="33" t="s">
        <v>38</v>
      </c>
      <c r="T20" s="33">
        <v>103</v>
      </c>
    </row>
    <row r="21" spans="2:20" ht="15.75" thickBot="1" x14ac:dyDescent="0.3">
      <c r="B21" s="79"/>
      <c r="C21" s="35" t="str">
        <f t="shared" si="0"/>
        <v>Ana</v>
      </c>
      <c r="D21" s="53">
        <v>2</v>
      </c>
      <c r="E21" s="53">
        <v>10</v>
      </c>
      <c r="F21" s="53">
        <v>12</v>
      </c>
      <c r="G21" s="53">
        <v>17</v>
      </c>
      <c r="H21" s="53">
        <v>5</v>
      </c>
      <c r="I21" s="53">
        <v>12</v>
      </c>
      <c r="J21" s="53">
        <v>10</v>
      </c>
      <c r="K21" s="53">
        <v>2</v>
      </c>
      <c r="L21" s="53">
        <v>19</v>
      </c>
      <c r="M21" s="53">
        <v>16</v>
      </c>
      <c r="N21" s="53">
        <v>15</v>
      </c>
      <c r="O21" s="54">
        <v>18</v>
      </c>
      <c r="P21" s="30"/>
      <c r="Q21" s="28"/>
      <c r="S21" s="33" t="s">
        <v>39</v>
      </c>
      <c r="T21" s="33">
        <v>104</v>
      </c>
    </row>
    <row r="22" spans="2:20" x14ac:dyDescent="0.25">
      <c r="B22" s="77" t="s">
        <v>40</v>
      </c>
      <c r="C22" s="32" t="str">
        <f>IF(C19="","NA",C19)</f>
        <v>João</v>
      </c>
      <c r="D22" s="49">
        <v>9</v>
      </c>
      <c r="E22" s="49">
        <v>18</v>
      </c>
      <c r="F22" s="49">
        <v>12</v>
      </c>
      <c r="G22" s="49">
        <v>2</v>
      </c>
      <c r="H22" s="49">
        <v>8</v>
      </c>
      <c r="I22" s="49">
        <v>12</v>
      </c>
      <c r="J22" s="49">
        <v>6</v>
      </c>
      <c r="K22" s="49">
        <v>3</v>
      </c>
      <c r="L22" s="49">
        <v>16</v>
      </c>
      <c r="M22" s="49">
        <v>7</v>
      </c>
      <c r="N22" s="49">
        <v>15</v>
      </c>
      <c r="O22" s="50">
        <v>12</v>
      </c>
      <c r="P22" s="25"/>
      <c r="Q22" s="28"/>
      <c r="S22" s="33" t="s">
        <v>41</v>
      </c>
      <c r="T22" s="33">
        <v>105</v>
      </c>
    </row>
    <row r="23" spans="2:20" x14ac:dyDescent="0.25">
      <c r="B23" s="78"/>
      <c r="C23" s="34" t="str">
        <f t="shared" si="0"/>
        <v>Maria</v>
      </c>
      <c r="D23" s="51">
        <v>16</v>
      </c>
      <c r="E23" s="51">
        <v>16</v>
      </c>
      <c r="F23" s="51">
        <v>19</v>
      </c>
      <c r="G23" s="51">
        <v>11</v>
      </c>
      <c r="H23" s="51">
        <v>1</v>
      </c>
      <c r="I23" s="51">
        <v>11</v>
      </c>
      <c r="J23" s="51">
        <v>3</v>
      </c>
      <c r="K23" s="51">
        <v>17</v>
      </c>
      <c r="L23" s="51">
        <v>17</v>
      </c>
      <c r="M23" s="51">
        <v>2</v>
      </c>
      <c r="N23" s="51">
        <v>3</v>
      </c>
      <c r="O23" s="52">
        <v>15</v>
      </c>
      <c r="P23" s="27"/>
      <c r="Q23" s="28"/>
      <c r="S23" s="33" t="s">
        <v>42</v>
      </c>
      <c r="T23" s="33">
        <v>107</v>
      </c>
    </row>
    <row r="24" spans="2:20" ht="15.75" thickBot="1" x14ac:dyDescent="0.3">
      <c r="B24" s="79"/>
      <c r="C24" s="35" t="str">
        <f t="shared" si="0"/>
        <v>Ana</v>
      </c>
      <c r="D24" s="53">
        <v>6</v>
      </c>
      <c r="E24" s="53">
        <v>10</v>
      </c>
      <c r="F24" s="53">
        <v>12</v>
      </c>
      <c r="G24" s="53">
        <v>19</v>
      </c>
      <c r="H24" s="53">
        <v>16</v>
      </c>
      <c r="I24" s="53">
        <v>18</v>
      </c>
      <c r="J24" s="53">
        <v>11</v>
      </c>
      <c r="K24" s="53">
        <v>16</v>
      </c>
      <c r="L24" s="53">
        <v>5</v>
      </c>
      <c r="M24" s="53">
        <v>3</v>
      </c>
      <c r="N24" s="53">
        <v>9</v>
      </c>
      <c r="O24" s="54">
        <v>6</v>
      </c>
      <c r="P24" s="30"/>
      <c r="Q24" s="28"/>
      <c r="S24" s="33" t="s">
        <v>43</v>
      </c>
      <c r="T24" s="33">
        <v>108</v>
      </c>
    </row>
    <row r="25" spans="2:20" x14ac:dyDescent="0.25">
      <c r="B25" s="77" t="s">
        <v>44</v>
      </c>
      <c r="C25" s="32" t="str">
        <f>IF(C22="","NA",C22)</f>
        <v>João</v>
      </c>
      <c r="D25" s="49">
        <v>2</v>
      </c>
      <c r="E25" s="49">
        <v>2</v>
      </c>
      <c r="F25" s="49">
        <v>8</v>
      </c>
      <c r="G25" s="49">
        <v>16</v>
      </c>
      <c r="H25" s="49">
        <v>9</v>
      </c>
      <c r="I25" s="49">
        <v>1</v>
      </c>
      <c r="J25" s="49">
        <v>11</v>
      </c>
      <c r="K25" s="49">
        <v>7</v>
      </c>
      <c r="L25" s="49">
        <v>3</v>
      </c>
      <c r="M25" s="49">
        <v>11</v>
      </c>
      <c r="N25" s="49">
        <v>8</v>
      </c>
      <c r="O25" s="50">
        <v>18</v>
      </c>
      <c r="P25" s="25"/>
      <c r="S25" s="33" t="s">
        <v>45</v>
      </c>
      <c r="T25" s="33">
        <v>109</v>
      </c>
    </row>
    <row r="26" spans="2:20" x14ac:dyDescent="0.25">
      <c r="B26" s="78"/>
      <c r="C26" s="34" t="str">
        <f>IF(C23="","NA",C23)</f>
        <v>Maria</v>
      </c>
      <c r="D26" s="51">
        <v>19</v>
      </c>
      <c r="E26" s="51">
        <v>6</v>
      </c>
      <c r="F26" s="51">
        <v>7</v>
      </c>
      <c r="G26" s="51">
        <v>3</v>
      </c>
      <c r="H26" s="51">
        <v>4</v>
      </c>
      <c r="I26" s="51">
        <v>6</v>
      </c>
      <c r="J26" s="51">
        <v>14</v>
      </c>
      <c r="K26" s="51">
        <v>7</v>
      </c>
      <c r="L26" s="51">
        <v>18</v>
      </c>
      <c r="M26" s="51">
        <v>14</v>
      </c>
      <c r="N26" s="51">
        <v>15</v>
      </c>
      <c r="O26" s="52">
        <v>13</v>
      </c>
      <c r="P26" s="27"/>
      <c r="S26" s="33" t="s">
        <v>46</v>
      </c>
      <c r="T26" s="33">
        <v>110</v>
      </c>
    </row>
    <row r="27" spans="2:20" ht="15.75" thickBot="1" x14ac:dyDescent="0.3">
      <c r="B27" s="78"/>
      <c r="C27" s="35" t="str">
        <f t="shared" si="0"/>
        <v>Ana</v>
      </c>
      <c r="D27" s="55">
        <v>4</v>
      </c>
      <c r="E27" s="55">
        <v>9</v>
      </c>
      <c r="F27" s="55">
        <v>8</v>
      </c>
      <c r="G27" s="55">
        <v>9</v>
      </c>
      <c r="H27" s="55">
        <v>3</v>
      </c>
      <c r="I27" s="55">
        <v>17</v>
      </c>
      <c r="J27" s="55">
        <v>11</v>
      </c>
      <c r="K27" s="55">
        <v>14</v>
      </c>
      <c r="L27" s="55">
        <v>16</v>
      </c>
      <c r="M27" s="55">
        <v>18</v>
      </c>
      <c r="N27" s="55">
        <v>9</v>
      </c>
      <c r="O27" s="56">
        <v>14</v>
      </c>
      <c r="P27" s="36"/>
      <c r="S27" s="33" t="s">
        <v>47</v>
      </c>
      <c r="T27" s="33">
        <v>111</v>
      </c>
    </row>
    <row r="28" spans="2:20" ht="15.75" thickBot="1" x14ac:dyDescent="0.3">
      <c r="B28" s="80" t="s">
        <v>48</v>
      </c>
      <c r="C28" s="81"/>
      <c r="D28" s="37">
        <f>SUM(D16:D27)</f>
        <v>119</v>
      </c>
      <c r="E28" s="37">
        <f t="shared" ref="E28:O28" si="1">SUM(E16:E27)</f>
        <v>121</v>
      </c>
      <c r="F28" s="37">
        <f t="shared" si="1"/>
        <v>127</v>
      </c>
      <c r="G28" s="37">
        <f t="shared" si="1"/>
        <v>116</v>
      </c>
      <c r="H28" s="37">
        <f t="shared" si="1"/>
        <v>84</v>
      </c>
      <c r="I28" s="37">
        <f t="shared" si="1"/>
        <v>129</v>
      </c>
      <c r="J28" s="37">
        <f>SUM(J16:J27)</f>
        <v>89</v>
      </c>
      <c r="K28" s="37">
        <f t="shared" si="1"/>
        <v>111</v>
      </c>
      <c r="L28" s="37">
        <f t="shared" si="1"/>
        <v>144</v>
      </c>
      <c r="M28" s="37">
        <f t="shared" si="1"/>
        <v>115</v>
      </c>
      <c r="N28" s="37">
        <f t="shared" si="1"/>
        <v>137</v>
      </c>
      <c r="O28" s="38">
        <f t="shared" si="1"/>
        <v>148</v>
      </c>
      <c r="P28" s="39"/>
    </row>
    <row r="29" spans="2:20" x14ac:dyDescent="0.25">
      <c r="B29" s="82" t="s">
        <v>49</v>
      </c>
      <c r="C29" s="32" t="str">
        <f>IF(C16="","NA",C16)</f>
        <v>João</v>
      </c>
      <c r="D29" s="57">
        <v>2</v>
      </c>
      <c r="E29" s="57">
        <v>3</v>
      </c>
      <c r="F29" s="57">
        <v>0</v>
      </c>
      <c r="G29" s="57">
        <v>0</v>
      </c>
      <c r="H29" s="57">
        <v>0</v>
      </c>
      <c r="I29" s="57">
        <v>3</v>
      </c>
      <c r="J29" s="57">
        <v>4</v>
      </c>
      <c r="K29" s="57">
        <v>1</v>
      </c>
      <c r="L29" s="57">
        <v>1</v>
      </c>
      <c r="M29" s="57">
        <v>4</v>
      </c>
      <c r="N29" s="57">
        <v>0</v>
      </c>
      <c r="O29" s="58">
        <v>4</v>
      </c>
      <c r="P29" s="40"/>
    </row>
    <row r="30" spans="2:20" x14ac:dyDescent="0.25">
      <c r="B30" s="82"/>
      <c r="C30" s="34" t="str">
        <f>IF(C17="","NA",C17)</f>
        <v>Maria</v>
      </c>
      <c r="D30" s="59">
        <v>1</v>
      </c>
      <c r="E30" s="59">
        <v>1</v>
      </c>
      <c r="F30" s="59">
        <v>2</v>
      </c>
      <c r="G30" s="59">
        <v>2</v>
      </c>
      <c r="H30" s="59">
        <v>3</v>
      </c>
      <c r="I30" s="59">
        <v>4</v>
      </c>
      <c r="J30" s="59">
        <v>2</v>
      </c>
      <c r="K30" s="59">
        <v>0</v>
      </c>
      <c r="L30" s="59">
        <v>4</v>
      </c>
      <c r="M30" s="59">
        <v>3</v>
      </c>
      <c r="N30" s="59">
        <v>2</v>
      </c>
      <c r="O30" s="60">
        <v>2</v>
      </c>
      <c r="P30" s="41"/>
    </row>
    <row r="31" spans="2:20" ht="15.75" thickBot="1" x14ac:dyDescent="0.3">
      <c r="B31" s="82"/>
      <c r="C31" s="35" t="str">
        <f>IF(C18="","NA",C18)</f>
        <v>Ana</v>
      </c>
      <c r="D31" s="61">
        <v>0</v>
      </c>
      <c r="E31" s="61">
        <v>3</v>
      </c>
      <c r="F31" s="61">
        <v>2</v>
      </c>
      <c r="G31" s="61">
        <v>4</v>
      </c>
      <c r="H31" s="61">
        <v>3</v>
      </c>
      <c r="I31" s="61">
        <v>4</v>
      </c>
      <c r="J31" s="61">
        <v>4</v>
      </c>
      <c r="K31" s="61">
        <v>4</v>
      </c>
      <c r="L31" s="61">
        <v>0</v>
      </c>
      <c r="M31" s="61">
        <v>1</v>
      </c>
      <c r="N31" s="61">
        <v>0</v>
      </c>
      <c r="O31" s="62">
        <v>2</v>
      </c>
      <c r="P31" s="42"/>
    </row>
    <row r="32" spans="2:20" ht="15.75" thickBot="1" x14ac:dyDescent="0.3">
      <c r="B32" s="83" t="s">
        <v>50</v>
      </c>
      <c r="C32" s="84"/>
      <c r="D32" s="43">
        <f>SUM(D28:D31)</f>
        <v>122</v>
      </c>
      <c r="E32" s="43">
        <f t="shared" ref="E32:O32" si="2">SUM(E28:E31)</f>
        <v>128</v>
      </c>
      <c r="F32" s="43">
        <f t="shared" si="2"/>
        <v>131</v>
      </c>
      <c r="G32" s="43">
        <f t="shared" si="2"/>
        <v>122</v>
      </c>
      <c r="H32" s="43">
        <f t="shared" si="2"/>
        <v>90</v>
      </c>
      <c r="I32" s="43">
        <f t="shared" si="2"/>
        <v>140</v>
      </c>
      <c r="J32" s="43">
        <f t="shared" si="2"/>
        <v>99</v>
      </c>
      <c r="K32" s="43">
        <f t="shared" si="2"/>
        <v>116</v>
      </c>
      <c r="L32" s="43">
        <f t="shared" si="2"/>
        <v>149</v>
      </c>
      <c r="M32" s="43">
        <f t="shared" si="2"/>
        <v>123</v>
      </c>
      <c r="N32" s="43">
        <f t="shared" si="2"/>
        <v>139</v>
      </c>
      <c r="O32" s="44">
        <f t="shared" si="2"/>
        <v>156</v>
      </c>
      <c r="P32" s="45"/>
    </row>
    <row r="34" spans="2:15" x14ac:dyDescent="0.25">
      <c r="D34" s="46" t="s">
        <v>19</v>
      </c>
      <c r="E34" s="46" t="s">
        <v>20</v>
      </c>
      <c r="F34" s="46" t="s">
        <v>21</v>
      </c>
      <c r="G34" s="46" t="s">
        <v>22</v>
      </c>
      <c r="H34" s="46" t="s">
        <v>23</v>
      </c>
      <c r="I34" s="46" t="s">
        <v>24</v>
      </c>
      <c r="J34" s="46" t="s">
        <v>25</v>
      </c>
      <c r="K34" s="46" t="s">
        <v>26</v>
      </c>
      <c r="L34" s="46" t="s">
        <v>27</v>
      </c>
      <c r="M34" s="46" t="s">
        <v>28</v>
      </c>
      <c r="N34" s="46" t="s">
        <v>29</v>
      </c>
      <c r="O34" s="46" t="s">
        <v>30</v>
      </c>
    </row>
    <row r="35" spans="2:15" x14ac:dyDescent="0.25">
      <c r="B35" s="76" t="s">
        <v>51</v>
      </c>
      <c r="C35" s="76"/>
      <c r="D35" s="47"/>
      <c r="E35" s="47"/>
      <c r="F35" s="47"/>
      <c r="G35" s="47"/>
      <c r="H35" s="47"/>
      <c r="I35" s="47"/>
      <c r="J35" s="47"/>
      <c r="K35" s="47"/>
      <c r="L35" s="47"/>
      <c r="M35" s="47"/>
      <c r="N35" s="47"/>
      <c r="O35" s="47"/>
    </row>
    <row r="36" spans="2:15" x14ac:dyDescent="0.25">
      <c r="B36" s="76" t="s">
        <v>52</v>
      </c>
      <c r="C36" s="76"/>
      <c r="D36" s="48"/>
      <c r="E36" s="47"/>
      <c r="F36" s="47"/>
      <c r="G36" s="47"/>
      <c r="H36" s="47"/>
      <c r="I36" s="47"/>
      <c r="J36" s="47"/>
      <c r="K36" s="47"/>
      <c r="L36" s="47"/>
      <c r="M36" s="47"/>
      <c r="N36" s="47"/>
      <c r="O36" s="47"/>
    </row>
  </sheetData>
  <mergeCells count="12">
    <mergeCell ref="B2:Q6"/>
    <mergeCell ref="M13:N13"/>
    <mergeCell ref="O13:P13"/>
    <mergeCell ref="B16:B18"/>
    <mergeCell ref="B19:B21"/>
    <mergeCell ref="B35:C35"/>
    <mergeCell ref="B36:C36"/>
    <mergeCell ref="B22:B24"/>
    <mergeCell ref="B25:B27"/>
    <mergeCell ref="B28:C28"/>
    <mergeCell ref="B29:B31"/>
    <mergeCell ref="B32:C32"/>
  </mergeCells>
  <pageMargins left="0.511811024" right="0.511811024" top="0.78740157499999996" bottom="0.78740157499999996" header="0.31496062000000002" footer="0.31496062000000002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T36"/>
  <sheetViews>
    <sheetView showGridLines="0" topLeftCell="A32" workbookViewId="0">
      <selection activeCell="Q45" sqref="Q45"/>
    </sheetView>
  </sheetViews>
  <sheetFormatPr defaultRowHeight="15" x14ac:dyDescent="0.25"/>
  <cols>
    <col min="19" max="19" width="15.28515625" bestFit="1" customWidth="1"/>
  </cols>
  <sheetData>
    <row r="2" spans="2:19" x14ac:dyDescent="0.25">
      <c r="B2" s="67" t="str">
        <f>CONTEÚDO!B2</f>
        <v>AULA 29 - GRÁFICOS AVANÇADOS</v>
      </c>
      <c r="C2" s="68"/>
      <c r="D2" s="68"/>
      <c r="E2" s="68"/>
      <c r="F2" s="68"/>
      <c r="G2" s="68"/>
      <c r="H2" s="68"/>
      <c r="I2" s="68"/>
      <c r="J2" s="68"/>
      <c r="K2" s="68"/>
      <c r="L2" s="68"/>
      <c r="M2" s="68"/>
      <c r="N2" s="68"/>
      <c r="O2" s="68"/>
      <c r="P2" s="68"/>
      <c r="Q2" s="69"/>
    </row>
    <row r="3" spans="2:19" x14ac:dyDescent="0.25">
      <c r="B3" s="70"/>
      <c r="C3" s="71"/>
      <c r="D3" s="71"/>
      <c r="E3" s="71"/>
      <c r="F3" s="71"/>
      <c r="G3" s="71"/>
      <c r="H3" s="71"/>
      <c r="I3" s="71"/>
      <c r="J3" s="71"/>
      <c r="K3" s="71"/>
      <c r="L3" s="71"/>
      <c r="M3" s="71"/>
      <c r="N3" s="71"/>
      <c r="O3" s="71"/>
      <c r="P3" s="71"/>
      <c r="Q3" s="72"/>
    </row>
    <row r="4" spans="2:19" x14ac:dyDescent="0.25">
      <c r="B4" s="70"/>
      <c r="C4" s="71"/>
      <c r="D4" s="71"/>
      <c r="E4" s="71"/>
      <c r="F4" s="71"/>
      <c r="G4" s="71"/>
      <c r="H4" s="71"/>
      <c r="I4" s="71"/>
      <c r="J4" s="71"/>
      <c r="K4" s="71"/>
      <c r="L4" s="71"/>
      <c r="M4" s="71"/>
      <c r="N4" s="71"/>
      <c r="O4" s="71"/>
      <c r="P4" s="71"/>
      <c r="Q4" s="72"/>
    </row>
    <row r="5" spans="2:19" x14ac:dyDescent="0.25">
      <c r="B5" s="70"/>
      <c r="C5" s="71"/>
      <c r="D5" s="71"/>
      <c r="E5" s="71"/>
      <c r="F5" s="71"/>
      <c r="G5" s="71"/>
      <c r="H5" s="71"/>
      <c r="I5" s="71"/>
      <c r="J5" s="71"/>
      <c r="K5" s="71"/>
      <c r="L5" s="71"/>
      <c r="M5" s="71"/>
      <c r="N5" s="71"/>
      <c r="O5" s="71"/>
      <c r="P5" s="71"/>
      <c r="Q5" s="72"/>
    </row>
    <row r="6" spans="2:19" x14ac:dyDescent="0.25">
      <c r="B6" s="73"/>
      <c r="C6" s="74"/>
      <c r="D6" s="74"/>
      <c r="E6" s="74"/>
      <c r="F6" s="74"/>
      <c r="G6" s="74"/>
      <c r="H6" s="74"/>
      <c r="I6" s="74"/>
      <c r="J6" s="74"/>
      <c r="K6" s="74"/>
      <c r="L6" s="74"/>
      <c r="M6" s="74"/>
      <c r="N6" s="74"/>
      <c r="O6" s="74"/>
      <c r="P6" s="74"/>
      <c r="Q6" s="75"/>
    </row>
    <row r="7" spans="2:19" ht="15" customHeight="1" x14ac:dyDescent="0.25">
      <c r="B7" s="3"/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</row>
    <row r="8" spans="2:19" x14ac:dyDescent="0.25">
      <c r="B8" s="4"/>
      <c r="C8" s="5"/>
      <c r="D8" s="5"/>
      <c r="E8" s="63"/>
    </row>
    <row r="9" spans="2:19" x14ac:dyDescent="0.25">
      <c r="B9" s="64" t="s">
        <v>53</v>
      </c>
      <c r="C9" s="8"/>
      <c r="D9" s="8"/>
      <c r="E9" s="65"/>
    </row>
    <row r="10" spans="2:19" x14ac:dyDescent="0.25">
      <c r="B10" s="10"/>
      <c r="C10" s="11"/>
      <c r="D10" s="11"/>
      <c r="E10" s="66"/>
    </row>
    <row r="11" spans="2:19" x14ac:dyDescent="0.25">
      <c r="B11" s="8"/>
      <c r="C11" s="8"/>
      <c r="D11" s="8"/>
      <c r="E11" s="8"/>
    </row>
    <row r="12" spans="2:19" ht="15.75" x14ac:dyDescent="0.25">
      <c r="B12" s="16" t="s">
        <v>15</v>
      </c>
    </row>
    <row r="13" spans="2:19" x14ac:dyDescent="0.25">
      <c r="B13" s="17"/>
      <c r="M13" s="85" t="s">
        <v>16</v>
      </c>
      <c r="N13" s="85"/>
      <c r="O13" s="86" t="s">
        <v>37</v>
      </c>
      <c r="P13" s="86"/>
      <c r="S13" s="1"/>
    </row>
    <row r="14" spans="2:19" ht="15.75" thickBot="1" x14ac:dyDescent="0.3">
      <c r="D14" s="18"/>
      <c r="E14" s="18">
        <v>2</v>
      </c>
      <c r="F14" s="18">
        <v>3</v>
      </c>
      <c r="G14" s="18">
        <v>4</v>
      </c>
      <c r="H14" s="18">
        <v>5</v>
      </c>
      <c r="I14" s="18">
        <v>6</v>
      </c>
      <c r="J14" s="18">
        <v>7</v>
      </c>
      <c r="K14" s="18">
        <v>8</v>
      </c>
      <c r="L14" s="18">
        <v>9</v>
      </c>
      <c r="M14" s="18">
        <v>10</v>
      </c>
      <c r="N14" s="18">
        <v>11</v>
      </c>
      <c r="O14" s="18">
        <v>12</v>
      </c>
      <c r="P14" s="18">
        <v>13</v>
      </c>
      <c r="Q14" s="18">
        <v>14</v>
      </c>
    </row>
    <row r="15" spans="2:19" ht="15.75" thickBot="1" x14ac:dyDescent="0.3">
      <c r="B15" s="19">
        <f>IF(($C$9/4)=INT($C$9/4),1,0)</f>
        <v>1</v>
      </c>
      <c r="C15" s="20" t="s">
        <v>18</v>
      </c>
      <c r="D15" s="21" t="s">
        <v>19</v>
      </c>
      <c r="E15" s="21" t="s">
        <v>20</v>
      </c>
      <c r="F15" s="21" t="s">
        <v>21</v>
      </c>
      <c r="G15" s="21" t="s">
        <v>22</v>
      </c>
      <c r="H15" s="21" t="s">
        <v>23</v>
      </c>
      <c r="I15" s="21" t="s">
        <v>24</v>
      </c>
      <c r="J15" s="21" t="s">
        <v>25</v>
      </c>
      <c r="K15" s="21" t="s">
        <v>26</v>
      </c>
      <c r="L15" s="21" t="s">
        <v>27</v>
      </c>
      <c r="M15" s="21" t="s">
        <v>28</v>
      </c>
      <c r="N15" s="21" t="s">
        <v>29</v>
      </c>
      <c r="O15" s="22" t="s">
        <v>30</v>
      </c>
      <c r="P15" s="23" t="s">
        <v>16</v>
      </c>
    </row>
    <row r="16" spans="2:19" x14ac:dyDescent="0.25">
      <c r="B16" s="77" t="s">
        <v>32</v>
      </c>
      <c r="C16" s="24" t="s">
        <v>17</v>
      </c>
      <c r="D16" s="49">
        <v>11</v>
      </c>
      <c r="E16" s="49">
        <v>15</v>
      </c>
      <c r="F16" s="49">
        <v>3</v>
      </c>
      <c r="G16" s="49">
        <v>12</v>
      </c>
      <c r="H16" s="49">
        <v>3</v>
      </c>
      <c r="I16" s="49">
        <v>12</v>
      </c>
      <c r="J16" s="49">
        <v>4</v>
      </c>
      <c r="K16" s="49">
        <v>5</v>
      </c>
      <c r="L16" s="49">
        <v>6</v>
      </c>
      <c r="M16" s="49">
        <v>6</v>
      </c>
      <c r="N16" s="49">
        <v>7</v>
      </c>
      <c r="O16" s="50">
        <v>12</v>
      </c>
      <c r="P16" s="25">
        <f>SUBTOTAL(VLOOKUP($O$13,$S$19:$T$27,2,0),D16:O16)</f>
        <v>8</v>
      </c>
    </row>
    <row r="17" spans="2:20" x14ac:dyDescent="0.25">
      <c r="B17" s="78"/>
      <c r="C17" s="26" t="s">
        <v>31</v>
      </c>
      <c r="D17" s="51">
        <v>13</v>
      </c>
      <c r="E17" s="51">
        <v>7</v>
      </c>
      <c r="F17" s="51">
        <v>15</v>
      </c>
      <c r="G17" s="51">
        <v>14</v>
      </c>
      <c r="H17" s="51">
        <v>6</v>
      </c>
      <c r="I17" s="51">
        <v>7</v>
      </c>
      <c r="J17" s="51">
        <v>5</v>
      </c>
      <c r="K17" s="51">
        <v>15</v>
      </c>
      <c r="L17" s="51">
        <v>2</v>
      </c>
      <c r="M17" s="51">
        <v>13</v>
      </c>
      <c r="N17" s="51">
        <v>17</v>
      </c>
      <c r="O17" s="52">
        <v>9</v>
      </c>
      <c r="P17" s="27">
        <f t="shared" ref="P17:P32" si="0">SUBTOTAL(VLOOKUP($O$13,$S$19:$T$27,2,0),D17:O17)</f>
        <v>10.25</v>
      </c>
      <c r="Q17" s="28"/>
    </row>
    <row r="18" spans="2:20" ht="15.75" thickBot="1" x14ac:dyDescent="0.3">
      <c r="B18" s="79"/>
      <c r="C18" s="29" t="s">
        <v>33</v>
      </c>
      <c r="D18" s="53">
        <v>15</v>
      </c>
      <c r="E18" s="53">
        <v>6</v>
      </c>
      <c r="F18" s="53">
        <v>12</v>
      </c>
      <c r="G18" s="53">
        <v>5</v>
      </c>
      <c r="H18" s="53">
        <v>8</v>
      </c>
      <c r="I18" s="53">
        <v>3</v>
      </c>
      <c r="J18" s="53">
        <v>9</v>
      </c>
      <c r="K18" s="53">
        <v>1</v>
      </c>
      <c r="L18" s="53">
        <v>12</v>
      </c>
      <c r="M18" s="53">
        <v>1</v>
      </c>
      <c r="N18" s="53">
        <v>10</v>
      </c>
      <c r="O18" s="54">
        <v>5</v>
      </c>
      <c r="P18" s="30">
        <f t="shared" si="0"/>
        <v>7.25</v>
      </c>
      <c r="Q18" s="28"/>
      <c r="S18" s="31" t="s">
        <v>34</v>
      </c>
      <c r="T18" s="31" t="s">
        <v>35</v>
      </c>
    </row>
    <row r="19" spans="2:20" x14ac:dyDescent="0.25">
      <c r="B19" s="77" t="s">
        <v>36</v>
      </c>
      <c r="C19" s="32" t="str">
        <f>IF(C16="","NA",C16)</f>
        <v>João</v>
      </c>
      <c r="D19" s="49">
        <v>11</v>
      </c>
      <c r="E19" s="49">
        <v>15</v>
      </c>
      <c r="F19" s="49">
        <v>12</v>
      </c>
      <c r="G19" s="49">
        <v>2</v>
      </c>
      <c r="H19" s="49">
        <v>15</v>
      </c>
      <c r="I19" s="49">
        <v>19</v>
      </c>
      <c r="J19" s="49">
        <v>1</v>
      </c>
      <c r="K19" s="49">
        <v>10</v>
      </c>
      <c r="L19" s="49">
        <v>19</v>
      </c>
      <c r="M19" s="49">
        <v>7</v>
      </c>
      <c r="N19" s="49">
        <v>18</v>
      </c>
      <c r="O19" s="50">
        <v>8</v>
      </c>
      <c r="P19" s="25">
        <f t="shared" si="0"/>
        <v>11.416666666666666</v>
      </c>
      <c r="Q19" s="28"/>
      <c r="S19" s="33" t="s">
        <v>37</v>
      </c>
      <c r="T19" s="33">
        <v>101</v>
      </c>
    </row>
    <row r="20" spans="2:20" x14ac:dyDescent="0.25">
      <c r="B20" s="78"/>
      <c r="C20" s="34" t="str">
        <f t="shared" ref="C20:C27" si="1">IF(C17="","NA",C17)</f>
        <v>Maria</v>
      </c>
      <c r="D20" s="51">
        <v>11</v>
      </c>
      <c r="E20" s="51">
        <v>7</v>
      </c>
      <c r="F20" s="51">
        <v>7</v>
      </c>
      <c r="G20" s="51">
        <v>6</v>
      </c>
      <c r="H20" s="51">
        <v>6</v>
      </c>
      <c r="I20" s="51">
        <v>11</v>
      </c>
      <c r="J20" s="51">
        <v>4</v>
      </c>
      <c r="K20" s="51">
        <v>14</v>
      </c>
      <c r="L20" s="51">
        <v>11</v>
      </c>
      <c r="M20" s="51">
        <v>17</v>
      </c>
      <c r="N20" s="51">
        <v>11</v>
      </c>
      <c r="O20" s="52">
        <v>18</v>
      </c>
      <c r="P20" s="27">
        <f t="shared" si="0"/>
        <v>10.25</v>
      </c>
      <c r="Q20" s="28"/>
      <c r="S20" s="33" t="s">
        <v>38</v>
      </c>
      <c r="T20" s="33">
        <v>103</v>
      </c>
    </row>
    <row r="21" spans="2:20" ht="15.75" thickBot="1" x14ac:dyDescent="0.3">
      <c r="B21" s="79"/>
      <c r="C21" s="35" t="str">
        <f t="shared" si="1"/>
        <v>Ana</v>
      </c>
      <c r="D21" s="53">
        <v>2</v>
      </c>
      <c r="E21" s="53">
        <v>10</v>
      </c>
      <c r="F21" s="53">
        <v>12</v>
      </c>
      <c r="G21" s="53">
        <v>17</v>
      </c>
      <c r="H21" s="53">
        <v>5</v>
      </c>
      <c r="I21" s="53">
        <v>12</v>
      </c>
      <c r="J21" s="53">
        <v>10</v>
      </c>
      <c r="K21" s="53">
        <v>2</v>
      </c>
      <c r="L21" s="53">
        <v>19</v>
      </c>
      <c r="M21" s="53">
        <v>16</v>
      </c>
      <c r="N21" s="53">
        <v>15</v>
      </c>
      <c r="O21" s="54">
        <v>18</v>
      </c>
      <c r="P21" s="30">
        <f t="shared" si="0"/>
        <v>11.5</v>
      </c>
      <c r="Q21" s="28"/>
      <c r="S21" s="33" t="s">
        <v>39</v>
      </c>
      <c r="T21" s="33">
        <v>104</v>
      </c>
    </row>
    <row r="22" spans="2:20" x14ac:dyDescent="0.25">
      <c r="B22" s="77" t="s">
        <v>40</v>
      </c>
      <c r="C22" s="32" t="str">
        <f>IF(C19="","NA",C19)</f>
        <v>João</v>
      </c>
      <c r="D22" s="49">
        <v>9</v>
      </c>
      <c r="E22" s="49">
        <v>18</v>
      </c>
      <c r="F22" s="49">
        <v>12</v>
      </c>
      <c r="G22" s="49">
        <v>2</v>
      </c>
      <c r="H22" s="49">
        <v>8</v>
      </c>
      <c r="I22" s="49">
        <v>12</v>
      </c>
      <c r="J22" s="49">
        <v>6</v>
      </c>
      <c r="K22" s="49">
        <v>3</v>
      </c>
      <c r="L22" s="49">
        <v>16</v>
      </c>
      <c r="M22" s="49">
        <v>7</v>
      </c>
      <c r="N22" s="49">
        <v>15</v>
      </c>
      <c r="O22" s="50">
        <v>12</v>
      </c>
      <c r="P22" s="25">
        <f t="shared" si="0"/>
        <v>10</v>
      </c>
      <c r="Q22" s="28"/>
      <c r="S22" s="33" t="s">
        <v>41</v>
      </c>
      <c r="T22" s="33">
        <v>105</v>
      </c>
    </row>
    <row r="23" spans="2:20" x14ac:dyDescent="0.25">
      <c r="B23" s="78"/>
      <c r="C23" s="34" t="str">
        <f t="shared" si="1"/>
        <v>Maria</v>
      </c>
      <c r="D23" s="51">
        <v>16</v>
      </c>
      <c r="E23" s="51">
        <v>16</v>
      </c>
      <c r="F23" s="51">
        <v>19</v>
      </c>
      <c r="G23" s="51">
        <v>11</v>
      </c>
      <c r="H23" s="51">
        <v>1</v>
      </c>
      <c r="I23" s="51">
        <v>11</v>
      </c>
      <c r="J23" s="51">
        <v>3</v>
      </c>
      <c r="K23" s="51">
        <v>17</v>
      </c>
      <c r="L23" s="51">
        <v>17</v>
      </c>
      <c r="M23" s="51">
        <v>2</v>
      </c>
      <c r="N23" s="51">
        <v>3</v>
      </c>
      <c r="O23" s="52">
        <v>15</v>
      </c>
      <c r="P23" s="27">
        <f t="shared" si="0"/>
        <v>10.916666666666666</v>
      </c>
      <c r="Q23" s="28"/>
      <c r="S23" s="33" t="s">
        <v>42</v>
      </c>
      <c r="T23" s="33">
        <v>107</v>
      </c>
    </row>
    <row r="24" spans="2:20" ht="15.75" thickBot="1" x14ac:dyDescent="0.3">
      <c r="B24" s="79"/>
      <c r="C24" s="35" t="str">
        <f t="shared" si="1"/>
        <v>Ana</v>
      </c>
      <c r="D24" s="53">
        <v>6</v>
      </c>
      <c r="E24" s="53">
        <v>10</v>
      </c>
      <c r="F24" s="53">
        <v>12</v>
      </c>
      <c r="G24" s="53">
        <v>19</v>
      </c>
      <c r="H24" s="53">
        <v>16</v>
      </c>
      <c r="I24" s="53">
        <v>18</v>
      </c>
      <c r="J24" s="53">
        <v>11</v>
      </c>
      <c r="K24" s="53">
        <v>16</v>
      </c>
      <c r="L24" s="53">
        <v>5</v>
      </c>
      <c r="M24" s="53">
        <v>3</v>
      </c>
      <c r="N24" s="53">
        <v>9</v>
      </c>
      <c r="O24" s="54">
        <v>6</v>
      </c>
      <c r="P24" s="30">
        <f t="shared" si="0"/>
        <v>10.916666666666666</v>
      </c>
      <c r="Q24" s="28"/>
      <c r="S24" s="33" t="s">
        <v>43</v>
      </c>
      <c r="T24" s="33">
        <v>108</v>
      </c>
    </row>
    <row r="25" spans="2:20" x14ac:dyDescent="0.25">
      <c r="B25" s="77" t="s">
        <v>44</v>
      </c>
      <c r="C25" s="32" t="str">
        <f>IF(C22="","NA",C22)</f>
        <v>João</v>
      </c>
      <c r="D25" s="49">
        <v>2</v>
      </c>
      <c r="E25" s="49">
        <v>2</v>
      </c>
      <c r="F25" s="49">
        <v>8</v>
      </c>
      <c r="G25" s="49">
        <v>16</v>
      </c>
      <c r="H25" s="49">
        <v>9</v>
      </c>
      <c r="I25" s="49">
        <v>1</v>
      </c>
      <c r="J25" s="49">
        <v>11</v>
      </c>
      <c r="K25" s="49">
        <v>7</v>
      </c>
      <c r="L25" s="49">
        <v>3</v>
      </c>
      <c r="M25" s="49">
        <v>11</v>
      </c>
      <c r="N25" s="49">
        <v>8</v>
      </c>
      <c r="O25" s="50">
        <v>18</v>
      </c>
      <c r="P25" s="25">
        <f t="shared" si="0"/>
        <v>8</v>
      </c>
      <c r="S25" s="33" t="s">
        <v>45</v>
      </c>
      <c r="T25" s="33">
        <v>109</v>
      </c>
    </row>
    <row r="26" spans="2:20" x14ac:dyDescent="0.25">
      <c r="B26" s="78"/>
      <c r="C26" s="34" t="str">
        <f>IF(C23="","NA",C23)</f>
        <v>Maria</v>
      </c>
      <c r="D26" s="51">
        <v>19</v>
      </c>
      <c r="E26" s="51">
        <v>6</v>
      </c>
      <c r="F26" s="51">
        <v>7</v>
      </c>
      <c r="G26" s="51">
        <v>3</v>
      </c>
      <c r="H26" s="51">
        <v>4</v>
      </c>
      <c r="I26" s="51">
        <v>6</v>
      </c>
      <c r="J26" s="51">
        <v>14</v>
      </c>
      <c r="K26" s="51">
        <v>7</v>
      </c>
      <c r="L26" s="51">
        <v>18</v>
      </c>
      <c r="M26" s="51">
        <v>14</v>
      </c>
      <c r="N26" s="51">
        <v>15</v>
      </c>
      <c r="O26" s="52">
        <v>13</v>
      </c>
      <c r="P26" s="27">
        <f t="shared" si="0"/>
        <v>10.5</v>
      </c>
      <c r="S26" s="33" t="s">
        <v>46</v>
      </c>
      <c r="T26" s="33">
        <v>110</v>
      </c>
    </row>
    <row r="27" spans="2:20" ht="15.75" thickBot="1" x14ac:dyDescent="0.3">
      <c r="B27" s="78"/>
      <c r="C27" s="35" t="str">
        <f t="shared" si="1"/>
        <v>Ana</v>
      </c>
      <c r="D27" s="55">
        <v>4</v>
      </c>
      <c r="E27" s="55">
        <v>9</v>
      </c>
      <c r="F27" s="55">
        <v>8</v>
      </c>
      <c r="G27" s="55">
        <v>9</v>
      </c>
      <c r="H27" s="55">
        <v>3</v>
      </c>
      <c r="I27" s="55">
        <v>17</v>
      </c>
      <c r="J27" s="55">
        <v>11</v>
      </c>
      <c r="K27" s="55">
        <v>14</v>
      </c>
      <c r="L27" s="55">
        <v>16</v>
      </c>
      <c r="M27" s="55">
        <v>18</v>
      </c>
      <c r="N27" s="55">
        <v>9</v>
      </c>
      <c r="O27" s="56">
        <v>14</v>
      </c>
      <c r="P27" s="36">
        <f t="shared" si="0"/>
        <v>11</v>
      </c>
      <c r="S27" s="33" t="s">
        <v>47</v>
      </c>
      <c r="T27" s="33">
        <v>111</v>
      </c>
    </row>
    <row r="28" spans="2:20" ht="15.75" thickBot="1" x14ac:dyDescent="0.3">
      <c r="B28" s="80" t="s">
        <v>48</v>
      </c>
      <c r="C28" s="81"/>
      <c r="D28" s="37">
        <f>SUM(D16:D27)</f>
        <v>119</v>
      </c>
      <c r="E28" s="37">
        <f t="shared" ref="E28:O28" si="2">SUM(E16:E27)</f>
        <v>121</v>
      </c>
      <c r="F28" s="37">
        <f t="shared" si="2"/>
        <v>127</v>
      </c>
      <c r="G28" s="37">
        <f t="shared" si="2"/>
        <v>116</v>
      </c>
      <c r="H28" s="37">
        <f t="shared" si="2"/>
        <v>84</v>
      </c>
      <c r="I28" s="37">
        <f t="shared" si="2"/>
        <v>129</v>
      </c>
      <c r="J28" s="37">
        <f>SUM(J16:J27)</f>
        <v>89</v>
      </c>
      <c r="K28" s="37">
        <f t="shared" si="2"/>
        <v>111</v>
      </c>
      <c r="L28" s="37">
        <f t="shared" si="2"/>
        <v>144</v>
      </c>
      <c r="M28" s="37">
        <f t="shared" si="2"/>
        <v>115</v>
      </c>
      <c r="N28" s="37">
        <f t="shared" si="2"/>
        <v>137</v>
      </c>
      <c r="O28" s="38">
        <f t="shared" si="2"/>
        <v>148</v>
      </c>
      <c r="P28" s="39">
        <f t="shared" si="0"/>
        <v>120</v>
      </c>
    </row>
    <row r="29" spans="2:20" x14ac:dyDescent="0.25">
      <c r="B29" s="82" t="s">
        <v>49</v>
      </c>
      <c r="C29" s="32" t="str">
        <f>IF(C16="","NA",C16)</f>
        <v>João</v>
      </c>
      <c r="D29" s="57">
        <v>2</v>
      </c>
      <c r="E29" s="57">
        <v>3</v>
      </c>
      <c r="F29" s="57">
        <v>0</v>
      </c>
      <c r="G29" s="57">
        <v>0</v>
      </c>
      <c r="H29" s="57">
        <v>0</v>
      </c>
      <c r="I29" s="57">
        <v>3</v>
      </c>
      <c r="J29" s="57">
        <v>4</v>
      </c>
      <c r="K29" s="57">
        <v>1</v>
      </c>
      <c r="L29" s="57">
        <v>1</v>
      </c>
      <c r="M29" s="57">
        <v>4</v>
      </c>
      <c r="N29" s="57">
        <v>0</v>
      </c>
      <c r="O29" s="58">
        <v>4</v>
      </c>
      <c r="P29" s="40">
        <f t="shared" si="0"/>
        <v>1.8333333333333333</v>
      </c>
    </row>
    <row r="30" spans="2:20" x14ac:dyDescent="0.25">
      <c r="B30" s="82"/>
      <c r="C30" s="34" t="str">
        <f>IF(C17="","NA",C17)</f>
        <v>Maria</v>
      </c>
      <c r="D30" s="59">
        <v>1</v>
      </c>
      <c r="E30" s="59">
        <v>1</v>
      </c>
      <c r="F30" s="59">
        <v>2</v>
      </c>
      <c r="G30" s="59">
        <v>2</v>
      </c>
      <c r="H30" s="59">
        <v>3</v>
      </c>
      <c r="I30" s="59">
        <v>4</v>
      </c>
      <c r="J30" s="59">
        <v>2</v>
      </c>
      <c r="K30" s="59">
        <v>0</v>
      </c>
      <c r="L30" s="59">
        <v>4</v>
      </c>
      <c r="M30" s="59">
        <v>3</v>
      </c>
      <c r="N30" s="59">
        <v>2</v>
      </c>
      <c r="O30" s="60">
        <v>2</v>
      </c>
      <c r="P30" s="41">
        <f t="shared" si="0"/>
        <v>2.1666666666666665</v>
      </c>
    </row>
    <row r="31" spans="2:20" ht="15.75" thickBot="1" x14ac:dyDescent="0.3">
      <c r="B31" s="82"/>
      <c r="C31" s="35" t="str">
        <f>IF(C18="","NA",C18)</f>
        <v>Ana</v>
      </c>
      <c r="D31" s="61">
        <v>0</v>
      </c>
      <c r="E31" s="61">
        <v>3</v>
      </c>
      <c r="F31" s="61">
        <v>2</v>
      </c>
      <c r="G31" s="61">
        <v>4</v>
      </c>
      <c r="H31" s="61">
        <v>3</v>
      </c>
      <c r="I31" s="61">
        <v>4</v>
      </c>
      <c r="J31" s="61">
        <v>4</v>
      </c>
      <c r="K31" s="61">
        <v>4</v>
      </c>
      <c r="L31" s="61">
        <v>0</v>
      </c>
      <c r="M31" s="61">
        <v>1</v>
      </c>
      <c r="N31" s="61">
        <v>0</v>
      </c>
      <c r="O31" s="62">
        <v>2</v>
      </c>
      <c r="P31" s="42">
        <f t="shared" si="0"/>
        <v>2.25</v>
      </c>
    </row>
    <row r="32" spans="2:20" ht="15.75" thickBot="1" x14ac:dyDescent="0.3">
      <c r="B32" s="83" t="s">
        <v>50</v>
      </c>
      <c r="C32" s="84"/>
      <c r="D32" s="43">
        <f>SUM(D28:D31)</f>
        <v>122</v>
      </c>
      <c r="E32" s="43">
        <f t="shared" ref="E32:O32" si="3">SUM(E28:E31)</f>
        <v>128</v>
      </c>
      <c r="F32" s="43">
        <f t="shared" si="3"/>
        <v>131</v>
      </c>
      <c r="G32" s="43">
        <f t="shared" si="3"/>
        <v>122</v>
      </c>
      <c r="H32" s="43">
        <f t="shared" si="3"/>
        <v>90</v>
      </c>
      <c r="I32" s="43">
        <f t="shared" si="3"/>
        <v>140</v>
      </c>
      <c r="J32" s="43">
        <f t="shared" si="3"/>
        <v>99</v>
      </c>
      <c r="K32" s="43">
        <f t="shared" si="3"/>
        <v>116</v>
      </c>
      <c r="L32" s="43">
        <f t="shared" si="3"/>
        <v>149</v>
      </c>
      <c r="M32" s="43">
        <f t="shared" si="3"/>
        <v>123</v>
      </c>
      <c r="N32" s="43">
        <f t="shared" si="3"/>
        <v>139</v>
      </c>
      <c r="O32" s="44">
        <f t="shared" si="3"/>
        <v>156</v>
      </c>
      <c r="P32" s="45">
        <f t="shared" si="0"/>
        <v>126.25</v>
      </c>
    </row>
    <row r="34" spans="2:15" x14ac:dyDescent="0.25">
      <c r="D34" s="46" t="s">
        <v>19</v>
      </c>
      <c r="E34" s="46" t="s">
        <v>20</v>
      </c>
      <c r="F34" s="46" t="s">
        <v>21</v>
      </c>
      <c r="G34" s="46" t="s">
        <v>22</v>
      </c>
      <c r="H34" s="46" t="s">
        <v>23</v>
      </c>
      <c r="I34" s="46" t="s">
        <v>24</v>
      </c>
      <c r="J34" s="46" t="s">
        <v>25</v>
      </c>
      <c r="K34" s="46" t="s">
        <v>26</v>
      </c>
      <c r="L34" s="46" t="s">
        <v>27</v>
      </c>
      <c r="M34" s="46" t="s">
        <v>28</v>
      </c>
      <c r="N34" s="46" t="s">
        <v>29</v>
      </c>
      <c r="O34" s="46" t="s">
        <v>30</v>
      </c>
    </row>
    <row r="35" spans="2:15" x14ac:dyDescent="0.25">
      <c r="B35" s="76" t="s">
        <v>51</v>
      </c>
      <c r="C35" s="76"/>
      <c r="D35" s="47">
        <f>SUM(D29:D31)/D32</f>
        <v>2.4590163934426229E-2</v>
      </c>
      <c r="E35" s="47">
        <f t="shared" ref="E35:O35" si="4">SUM(E29:E31)/E32</f>
        <v>5.46875E-2</v>
      </c>
      <c r="F35" s="47">
        <f t="shared" si="4"/>
        <v>3.0534351145038167E-2</v>
      </c>
      <c r="G35" s="47">
        <f t="shared" si="4"/>
        <v>4.9180327868852458E-2</v>
      </c>
      <c r="H35" s="47">
        <f t="shared" si="4"/>
        <v>6.6666666666666666E-2</v>
      </c>
      <c r="I35" s="47">
        <f t="shared" si="4"/>
        <v>7.857142857142857E-2</v>
      </c>
      <c r="J35" s="47">
        <f t="shared" si="4"/>
        <v>0.10101010101010101</v>
      </c>
      <c r="K35" s="47">
        <f t="shared" si="4"/>
        <v>4.3103448275862072E-2</v>
      </c>
      <c r="L35" s="47">
        <f t="shared" si="4"/>
        <v>3.3557046979865772E-2</v>
      </c>
      <c r="M35" s="47">
        <f t="shared" si="4"/>
        <v>6.5040650406504072E-2</v>
      </c>
      <c r="N35" s="47">
        <f t="shared" si="4"/>
        <v>1.4388489208633094E-2</v>
      </c>
      <c r="O35" s="47">
        <f t="shared" si="4"/>
        <v>5.128205128205128E-2</v>
      </c>
    </row>
    <row r="36" spans="2:15" x14ac:dyDescent="0.25">
      <c r="B36" s="76" t="s">
        <v>52</v>
      </c>
      <c r="C36" s="76"/>
      <c r="D36" s="48">
        <f>D35</f>
        <v>2.4590163934426229E-2</v>
      </c>
      <c r="E36" s="47">
        <f>AVERAGE($D$35:E35)</f>
        <v>3.9638831967213115E-2</v>
      </c>
      <c r="F36" s="47">
        <f>AVERAGE($D$35:F35)</f>
        <v>3.6604005026488133E-2</v>
      </c>
      <c r="G36" s="47">
        <f>AVERAGE($D$35:G35)</f>
        <v>3.9748085737079213E-2</v>
      </c>
      <c r="H36" s="47">
        <f>AVERAGE($D$35:H35)</f>
        <v>4.5131801922996706E-2</v>
      </c>
      <c r="I36" s="47">
        <f>AVERAGE($D$35:I35)</f>
        <v>5.0705073031068686E-2</v>
      </c>
      <c r="J36" s="47">
        <f>AVERAGE($D$35:J35)</f>
        <v>5.7891505599501868E-2</v>
      </c>
      <c r="K36" s="47">
        <f>AVERAGE($D$35:K35)</f>
        <v>5.6042998434046892E-2</v>
      </c>
      <c r="L36" s="47">
        <f>AVERAGE($D$35:L35)</f>
        <v>5.3544559383582324E-2</v>
      </c>
      <c r="M36" s="47">
        <f>AVERAGE($D$35:M35)</f>
        <v>5.4694168485874495E-2</v>
      </c>
      <c r="N36" s="47">
        <f>AVERAGE($D$35:N35)</f>
        <v>5.10300158243071E-2</v>
      </c>
      <c r="O36" s="47">
        <f>AVERAGE($D$35:O35)</f>
        <v>5.1051018779119113E-2</v>
      </c>
    </row>
  </sheetData>
  <mergeCells count="12">
    <mergeCell ref="B25:B27"/>
    <mergeCell ref="B28:C28"/>
    <mergeCell ref="B29:B31"/>
    <mergeCell ref="B32:C32"/>
    <mergeCell ref="B35:C35"/>
    <mergeCell ref="B36:C36"/>
    <mergeCell ref="B2:Q6"/>
    <mergeCell ref="M13:N13"/>
    <mergeCell ref="O13:P13"/>
    <mergeCell ref="B16:B18"/>
    <mergeCell ref="B19:B21"/>
    <mergeCell ref="B22:B24"/>
  </mergeCells>
  <dataValidations count="1">
    <dataValidation type="list" allowBlank="1" showInputMessage="1" showErrorMessage="1" sqref="O13:P13">
      <formula1>$S$19:$S$27</formula1>
    </dataValidation>
  </dataValidations>
  <pageMargins left="0.511811024" right="0.511811024" top="0.78740157499999996" bottom="0.78740157499999996" header="0.31496062000000002" footer="0.31496062000000002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4</vt:i4>
      </vt:variant>
    </vt:vector>
  </HeadingPairs>
  <TitlesOfParts>
    <vt:vector size="4" baseType="lpstr">
      <vt:lpstr>CONTEÚDO</vt:lpstr>
      <vt:lpstr>EXPLICAÇÃO</vt:lpstr>
      <vt:lpstr>EXERCÍCIOS</vt:lpstr>
      <vt:lpstr>EXERCÍCIOS (resolvido)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Lucas Rana</dc:creator>
  <cp:lastModifiedBy>Lucas Rana</cp:lastModifiedBy>
  <dcterms:created xsi:type="dcterms:W3CDTF">2015-11-17T16:12:59Z</dcterms:created>
  <dcterms:modified xsi:type="dcterms:W3CDTF">2019-02-22T22:32:36Z</dcterms:modified>
</cp:coreProperties>
</file>