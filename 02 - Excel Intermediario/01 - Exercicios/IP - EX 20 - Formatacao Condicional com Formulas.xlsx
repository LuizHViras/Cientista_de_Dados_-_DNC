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D57F7E65-9ACB-4102-82A2-047792B33D2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" sheetId="17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7" l="1"/>
  <c r="H6" i="17"/>
  <c r="H7" i="17"/>
  <c r="H8" i="17"/>
  <c r="H4" i="17"/>
  <c r="G8" i="17"/>
  <c r="G7" i="17"/>
  <c r="G6" i="17"/>
  <c r="G5" i="17"/>
  <c r="G4" i="17"/>
  <c r="E8" i="17"/>
  <c r="E7" i="17"/>
  <c r="E6" i="17"/>
  <c r="E5" i="17"/>
  <c r="E4" i="17"/>
  <c r="D17" i="10"/>
  <c r="E17" i="10" s="1"/>
  <c r="D16" i="10"/>
  <c r="E16" i="10" s="1"/>
  <c r="D15" i="10"/>
  <c r="E15" i="10" s="1"/>
  <c r="D14" i="10"/>
  <c r="E14" i="10" s="1"/>
  <c r="D13" i="10"/>
  <c r="E13" i="10" s="1"/>
  <c r="E12" i="10"/>
  <c r="D12" i="10"/>
  <c r="D11" i="10"/>
  <c r="E11" i="10" s="1"/>
  <c r="D10" i="10"/>
  <c r="E10" i="10" s="1"/>
  <c r="D9" i="10"/>
</calcChain>
</file>

<file path=xl/sharedStrings.xml><?xml version="1.0" encoding="utf-8"?>
<sst xmlns="http://schemas.openxmlformats.org/spreadsheetml/2006/main" count="33" uniqueCount="31">
  <si>
    <t>MARIA</t>
  </si>
  <si>
    <t>JOSÉ</t>
  </si>
  <si>
    <t>FERNANDO</t>
  </si>
  <si>
    <t>PEDRO</t>
  </si>
  <si>
    <t>ALUNOS</t>
  </si>
  <si>
    <t>FELIPE</t>
  </si>
  <si>
    <t>P1</t>
  </si>
  <si>
    <t>P2</t>
  </si>
  <si>
    <t>MÉDIA</t>
  </si>
  <si>
    <t>EXAME</t>
  </si>
  <si>
    <t>FINAL</t>
  </si>
  <si>
    <t>STATUS</t>
  </si>
  <si>
    <t xml:space="preserve">Meta </t>
  </si>
  <si>
    <t>Resultado</t>
  </si>
  <si>
    <t>% Atingido</t>
  </si>
  <si>
    <t>APROVADO</t>
  </si>
  <si>
    <t>&gt;70% - APROVADO - VERDE</t>
  </si>
  <si>
    <t>&lt;70% - REPROVADO - AMARELO</t>
  </si>
  <si>
    <t>&gt;&gt; ONE-LINER &lt;&lt;</t>
  </si>
  <si>
    <t>&gt;&gt; CONTEÚDO DA AULA &lt;&lt;</t>
  </si>
  <si>
    <t>2. Formatando a linha toda</t>
  </si>
  <si>
    <t>1. Criando nova Regra -&gt; fórmula</t>
  </si>
  <si>
    <t>&gt;&gt; REGRAS &lt;&lt;</t>
  </si>
  <si>
    <t>MÉDIA = (P1+P2*2)/3</t>
  </si>
  <si>
    <t>FINAL = (MÉDIA + EXAME)/2</t>
  </si>
  <si>
    <t>*FORMATAÇÃO CONDICIONAL:</t>
  </si>
  <si>
    <t>-&gt; Se a coluna STATUS estiver APROVADO, pintar a linha toda de verde, caso contrário (&lt;5) pintar linha toda de vermelho.</t>
  </si>
  <si>
    <t>(para pintar a linha toda você deve pré-selecionar a linha e:)</t>
  </si>
  <si>
    <t>Formatação Condicional (fórmulas)</t>
  </si>
  <si>
    <t>"A utilização de formatação condicional através de fórmulas permite a formatação tanto de células, linhas/colunas inteiras fazendo referência a uma outra célula."</t>
  </si>
  <si>
    <t>TOMAR CUIDADO COM O  TRAVAMENTO DAS CÉLULAS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</si>
</sst>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8"/>
      <color theme="8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rgb="FFCC0066"/>
      <name val="Calibri"/>
      <family val="2"/>
      <scheme val="minor"/>
    </font>
    <font>
      <i/>
      <sz val="10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19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6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0" applyFont="1" applyAlignment="1">
      <alignment vertical="center"/>
    </xf>
    <xf numFmtId="9" fontId="0" fillId="0" borderId="0" xfId="5" applyFont="1"/>
    <xf numFmtId="0" fontId="8" fillId="4" borderId="10" xfId="0" applyFont="1" applyFill="1" applyBorder="1"/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2" xfId="0" applyFill="1" applyBorder="1"/>
    <xf numFmtId="0" fontId="10" fillId="4" borderId="16" xfId="0" applyFont="1" applyFill="1" applyBorder="1"/>
    <xf numFmtId="0" fontId="0" fillId="4" borderId="0" xfId="0" applyFill="1"/>
    <xf numFmtId="0" fontId="10" fillId="4" borderId="0" xfId="0" applyFont="1" applyFill="1"/>
    <xf numFmtId="0" fontId="10" fillId="4" borderId="17" xfId="0" applyFont="1" applyFill="1" applyBorder="1"/>
    <xf numFmtId="0" fontId="10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6" fillId="5" borderId="18" xfId="0" applyFont="1" applyFill="1" applyBorder="1" applyAlignment="1">
      <alignment horizontal="center"/>
    </xf>
    <xf numFmtId="44" fontId="0" fillId="0" borderId="18" xfId="4" applyFont="1" applyBorder="1"/>
    <xf numFmtId="9" fontId="0" fillId="0" borderId="18" xfId="5" applyFont="1" applyBorder="1"/>
    <xf numFmtId="9" fontId="0" fillId="0" borderId="18" xfId="5" applyFont="1" applyBorder="1" applyAlignment="1">
      <alignment horizontal="center"/>
    </xf>
    <xf numFmtId="0" fontId="11" fillId="0" borderId="0" xfId="0" applyFont="1"/>
    <xf numFmtId="0" fontId="1" fillId="0" borderId="18" xfId="0" applyFont="1" applyBorder="1"/>
    <xf numFmtId="0" fontId="0" fillId="0" borderId="18" xfId="0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0" fontId="8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0" fillId="4" borderId="5" xfId="0" applyFont="1" applyFill="1" applyBorder="1"/>
    <xf numFmtId="0" fontId="10" fillId="4" borderId="6" xfId="0" applyFont="1" applyFill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4" borderId="13" xfId="0" applyFont="1" applyFill="1" applyBorder="1" applyAlignment="1">
      <alignment horizontal="left" wrapText="1"/>
    </xf>
    <xf numFmtId="0" fontId="9" fillId="4" borderId="14" xfId="0" applyFont="1" applyFill="1" applyBorder="1" applyAlignment="1">
      <alignment horizontal="left" wrapText="1"/>
    </xf>
    <xf numFmtId="0" fontId="9" fillId="4" borderId="15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2" fillId="4" borderId="5" xfId="0" quotePrefix="1" applyFont="1" applyFill="1" applyBorder="1" applyAlignment="1">
      <alignment horizontal="left" vertical="top" wrapText="1"/>
    </xf>
    <xf numFmtId="0" fontId="12" fillId="4" borderId="0" xfId="0" quotePrefix="1" applyFont="1" applyFill="1" applyAlignment="1">
      <alignment horizontal="left" vertical="top" wrapText="1"/>
    </xf>
    <xf numFmtId="0" fontId="12" fillId="4" borderId="6" xfId="0" quotePrefix="1" applyFont="1" applyFill="1" applyBorder="1" applyAlignment="1">
      <alignment horizontal="left" vertical="top" wrapText="1"/>
    </xf>
    <xf numFmtId="0" fontId="12" fillId="4" borderId="7" xfId="0" quotePrefix="1" applyFont="1" applyFill="1" applyBorder="1" applyAlignment="1">
      <alignment horizontal="left" vertical="top" wrapText="1"/>
    </xf>
    <xf numFmtId="0" fontId="12" fillId="4" borderId="8" xfId="0" quotePrefix="1" applyFont="1" applyFill="1" applyBorder="1" applyAlignment="1">
      <alignment horizontal="left" vertical="top" wrapText="1"/>
    </xf>
    <xf numFmtId="0" fontId="12" fillId="4" borderId="9" xfId="0" quotePrefix="1" applyFont="1" applyFill="1" applyBorder="1" applyAlignment="1">
      <alignment horizontal="left" vertical="top" wrapText="1"/>
    </xf>
  </cellXfs>
  <cellStyles count="6">
    <cellStyle name="Moeda" xfId="4" builtinId="4"/>
    <cellStyle name="Normal" xfId="0" builtinId="0"/>
    <cellStyle name="Normal 2" xfId="1" xr:uid="{00000000-0005-0000-0000-000002000000}"/>
    <cellStyle name="Porcentagem" xfId="5" builtinId="5"/>
    <cellStyle name="SAPBEXfilterDrill" xfId="2" xr:uid="{00000000-0005-0000-0000-000004000000}"/>
    <cellStyle name="Vírgula 2" xfId="3" xr:uid="{00000000-0005-0000-0000-000005000000}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DAE9A2AE-2751-4F04-8A22-018C8BFF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B594DB-F387-4BAF-A994-FBC0F34D7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00837B3A-3A7F-4A54-8B42-B041AB71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434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E270F5-F563-442F-B272-3E3BF83C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6"/>
  <sheetViews>
    <sheetView showGridLines="0" workbookViewId="0">
      <selection activeCell="B10" sqref="B10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0" t="s">
        <v>28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7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7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7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7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7" spans="2:17" ht="15.75" thickBot="1" x14ac:dyDescent="0.3"/>
    <row r="8" spans="2:17" ht="21.75" customHeight="1" x14ac:dyDescent="0.25">
      <c r="B8" s="5" t="s">
        <v>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spans="2:17" x14ac:dyDescent="0.25">
      <c r="B9" s="39" t="s">
        <v>29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1"/>
    </row>
    <row r="10" spans="2:17" ht="7.5" customHeight="1" thickBot="1" x14ac:dyDescent="0.3"/>
    <row r="11" spans="2:17" ht="15.75" x14ac:dyDescent="0.25">
      <c r="B11" s="5" t="s">
        <v>19</v>
      </c>
      <c r="C11" s="8"/>
      <c r="D11" s="8"/>
      <c r="E11" s="9"/>
    </row>
    <row r="12" spans="2:17" x14ac:dyDescent="0.25">
      <c r="B12" s="10" t="s">
        <v>21</v>
      </c>
      <c r="C12" s="11"/>
      <c r="D12" s="12"/>
      <c r="E12" s="13"/>
    </row>
    <row r="13" spans="2:17" x14ac:dyDescent="0.25">
      <c r="B13" s="10" t="s">
        <v>20</v>
      </c>
      <c r="C13" s="11"/>
      <c r="D13" s="12"/>
      <c r="E13" s="13"/>
    </row>
    <row r="14" spans="2:17" ht="4.5" customHeight="1" x14ac:dyDescent="0.25">
      <c r="B14" s="14"/>
      <c r="C14" s="15"/>
      <c r="D14" s="15"/>
      <c r="E14" s="16"/>
    </row>
    <row r="16" spans="2:17" x14ac:dyDescent="0.25">
      <c r="B16" s="2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7"/>
  <sheetViews>
    <sheetView showGridLines="0" workbookViewId="0">
      <selection activeCell="E17" sqref="E17"/>
    </sheetView>
  </sheetViews>
  <sheetFormatPr defaultRowHeight="15" x14ac:dyDescent="0.25"/>
  <cols>
    <col min="2" max="2" width="17" bestFit="1" customWidth="1"/>
    <col min="3" max="3" width="13.28515625" bestFit="1" customWidth="1"/>
    <col min="4" max="4" width="10.5703125" bestFit="1" customWidth="1"/>
    <col min="5" max="5" width="14.85546875" bestFit="1" customWidth="1"/>
    <col min="7" max="7" width="11.4257812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</cols>
  <sheetData>
    <row r="1" spans="2:17" ht="15.75" thickBot="1" x14ac:dyDescent="0.3"/>
    <row r="2" spans="2:17" ht="15" customHeight="1" x14ac:dyDescent="0.25">
      <c r="B2" s="30" t="s">
        <v>28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7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7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7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7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8" spans="2:17" x14ac:dyDescent="0.25">
      <c r="B8" s="17" t="s">
        <v>12</v>
      </c>
      <c r="C8" s="17" t="s">
        <v>13</v>
      </c>
      <c r="D8" s="17" t="s">
        <v>14</v>
      </c>
      <c r="E8" s="17" t="s">
        <v>15</v>
      </c>
      <c r="I8" s="4"/>
    </row>
    <row r="9" spans="2:17" x14ac:dyDescent="0.25">
      <c r="B9" s="18">
        <v>50000</v>
      </c>
      <c r="C9" s="18">
        <v>35000</v>
      </c>
      <c r="D9" s="19">
        <f>C9/B9</f>
        <v>0.7</v>
      </c>
      <c r="E9" s="20" t="s">
        <v>15</v>
      </c>
      <c r="G9" s="1" t="s">
        <v>16</v>
      </c>
      <c r="I9" s="4"/>
    </row>
    <row r="10" spans="2:17" x14ac:dyDescent="0.25">
      <c r="B10" s="18">
        <v>45000</v>
      </c>
      <c r="C10" s="18">
        <v>70000</v>
      </c>
      <c r="D10" s="19">
        <f t="shared" ref="D10:D11" si="0">C10/B10</f>
        <v>1.5555555555555556</v>
      </c>
      <c r="E10" s="20" t="str">
        <f t="shared" ref="E10:E17" si="1">IF(D10&gt;70%,"APROVADO","REPROVADO")</f>
        <v>APROVADO</v>
      </c>
      <c r="G10" s="1" t="s">
        <v>17</v>
      </c>
      <c r="I10" s="4"/>
    </row>
    <row r="11" spans="2:17" x14ac:dyDescent="0.25">
      <c r="B11" s="18">
        <v>60000</v>
      </c>
      <c r="C11" s="18">
        <v>55000</v>
      </c>
      <c r="D11" s="19">
        <f t="shared" si="0"/>
        <v>0.91666666666666663</v>
      </c>
      <c r="E11" s="20" t="str">
        <f t="shared" si="1"/>
        <v>APROVADO</v>
      </c>
      <c r="G11" s="21" t="s">
        <v>27</v>
      </c>
      <c r="I11" s="4"/>
    </row>
    <row r="12" spans="2:17" ht="15.75" thickBot="1" x14ac:dyDescent="0.3">
      <c r="B12" s="18">
        <v>50000</v>
      </c>
      <c r="C12" s="18">
        <v>35000</v>
      </c>
      <c r="D12" s="19">
        <f>C12/B12</f>
        <v>0.7</v>
      </c>
      <c r="E12" s="20" t="str">
        <f t="shared" si="1"/>
        <v>REPROVADO</v>
      </c>
      <c r="I12" s="4"/>
    </row>
    <row r="13" spans="2:17" x14ac:dyDescent="0.25">
      <c r="B13" s="18">
        <v>45000</v>
      </c>
      <c r="C13" s="18">
        <v>70000</v>
      </c>
      <c r="D13" s="19">
        <f t="shared" ref="D13:D14" si="2">C13/B13</f>
        <v>1.5555555555555556</v>
      </c>
      <c r="E13" s="20" t="str">
        <f t="shared" si="1"/>
        <v>APROVADO</v>
      </c>
      <c r="G13" s="42" t="s">
        <v>30</v>
      </c>
      <c r="H13" s="43"/>
      <c r="I13" s="43"/>
      <c r="J13" s="43"/>
      <c r="K13" s="44"/>
    </row>
    <row r="14" spans="2:17" x14ac:dyDescent="0.25">
      <c r="B14" s="18">
        <v>60000</v>
      </c>
      <c r="C14" s="18">
        <v>55000</v>
      </c>
      <c r="D14" s="19">
        <f t="shared" si="2"/>
        <v>0.91666666666666663</v>
      </c>
      <c r="E14" s="20" t="str">
        <f t="shared" si="1"/>
        <v>APROVADO</v>
      </c>
      <c r="G14" s="45"/>
      <c r="H14" s="46"/>
      <c r="I14" s="46"/>
      <c r="J14" s="46"/>
      <c r="K14" s="47"/>
    </row>
    <row r="15" spans="2:17" x14ac:dyDescent="0.25">
      <c r="B15" s="18">
        <v>50000</v>
      </c>
      <c r="C15" s="18">
        <v>35000</v>
      </c>
      <c r="D15" s="19">
        <f>C15/B15</f>
        <v>0.7</v>
      </c>
      <c r="E15" s="20" t="str">
        <f t="shared" si="1"/>
        <v>REPROVADO</v>
      </c>
      <c r="G15" s="48"/>
      <c r="H15" s="49"/>
      <c r="I15" s="49"/>
      <c r="J15" s="49"/>
      <c r="K15" s="50"/>
    </row>
    <row r="16" spans="2:17" x14ac:dyDescent="0.25">
      <c r="B16" s="18">
        <v>45000</v>
      </c>
      <c r="C16" s="18">
        <v>70000</v>
      </c>
      <c r="D16" s="19">
        <f t="shared" ref="D16:D17" si="3">C16/B16</f>
        <v>1.5555555555555556</v>
      </c>
      <c r="E16" s="20" t="str">
        <f t="shared" si="1"/>
        <v>APROVADO</v>
      </c>
    </row>
    <row r="17" spans="2:5" x14ac:dyDescent="0.25">
      <c r="B17" s="18">
        <v>60000</v>
      </c>
      <c r="C17" s="18">
        <v>55000</v>
      </c>
      <c r="D17" s="19">
        <f t="shared" si="3"/>
        <v>0.91666666666666663</v>
      </c>
      <c r="E17" s="20" t="str">
        <f t="shared" si="1"/>
        <v>APROVADO</v>
      </c>
    </row>
  </sheetData>
  <mergeCells count="2">
    <mergeCell ref="B2:Q6"/>
    <mergeCell ref="G13:K15"/>
  </mergeCells>
  <conditionalFormatting sqref="B9:E17">
    <cfRule type="expression" dxfId="7" priority="2">
      <formula>IF($E9 = "REPROVADO", 1, 0)</formula>
    </cfRule>
    <cfRule type="expression" dxfId="8" priority="1">
      <formula>IF($E9 = "APROVADO", 1, 0)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8"/>
  <sheetViews>
    <sheetView showGridLines="0" tabSelected="1" workbookViewId="0">
      <selection activeCell="D12" sqref="D12"/>
    </sheetView>
  </sheetViews>
  <sheetFormatPr defaultRowHeight="15" x14ac:dyDescent="0.25"/>
  <cols>
    <col min="2" max="2" width="11" bestFit="1" customWidth="1"/>
    <col min="5" max="5" width="10.42578125" customWidth="1"/>
    <col min="8" max="8" width="12.140625" bestFit="1" customWidth="1"/>
  </cols>
  <sheetData>
    <row r="2" spans="2:9" ht="15" customHeight="1" x14ac:dyDescent="0.25">
      <c r="D2" s="3"/>
      <c r="E2" s="3"/>
      <c r="F2" s="3"/>
      <c r="G2" s="3"/>
      <c r="H2" s="3"/>
      <c r="I2" s="3"/>
    </row>
    <row r="3" spans="2:9" ht="15" customHeight="1" x14ac:dyDescent="0.25">
      <c r="B3" s="17" t="s">
        <v>4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7" t="s">
        <v>11</v>
      </c>
    </row>
    <row r="4" spans="2:9" ht="15" customHeight="1" x14ac:dyDescent="0.25">
      <c r="B4" s="22" t="s">
        <v>3</v>
      </c>
      <c r="C4" s="23">
        <v>3</v>
      </c>
      <c r="D4" s="23">
        <v>8</v>
      </c>
      <c r="E4" s="24">
        <f>AVERAGE(C4:D4)</f>
        <v>5.5</v>
      </c>
      <c r="F4" s="23"/>
      <c r="G4" s="23">
        <f>SUM(E4:F4)/2</f>
        <v>2.75</v>
      </c>
      <c r="H4" s="23" t="str">
        <f>IF(G4 &gt; 5, "APROVADO", "REPROVADO")</f>
        <v>REPROVADO</v>
      </c>
      <c r="I4" s="3"/>
    </row>
    <row r="5" spans="2:9" ht="15" customHeight="1" x14ac:dyDescent="0.25">
      <c r="B5" s="22" t="s">
        <v>0</v>
      </c>
      <c r="C5" s="23">
        <v>2</v>
      </c>
      <c r="D5" s="23">
        <v>5</v>
      </c>
      <c r="E5" s="24">
        <f t="shared" ref="E5:E8" si="0">AVERAGE(C5:D5)</f>
        <v>3.5</v>
      </c>
      <c r="F5" s="23">
        <v>6</v>
      </c>
      <c r="G5" s="23">
        <f t="shared" ref="G5:G8" si="1">SUM(E5:F5)/2</f>
        <v>4.75</v>
      </c>
      <c r="H5" s="23" t="str">
        <f t="shared" ref="H5:H8" si="2">IF(G5 &gt; 5, "APROVADO", "REPROVADO")</f>
        <v>REPROVADO</v>
      </c>
      <c r="I5" s="3"/>
    </row>
    <row r="6" spans="2:9" ht="15" customHeight="1" x14ac:dyDescent="0.25">
      <c r="B6" s="22" t="s">
        <v>1</v>
      </c>
      <c r="C6" s="23">
        <v>6</v>
      </c>
      <c r="D6" s="23">
        <v>6</v>
      </c>
      <c r="E6" s="24">
        <f t="shared" si="0"/>
        <v>6</v>
      </c>
      <c r="F6" s="23"/>
      <c r="G6" s="23">
        <f t="shared" si="1"/>
        <v>3</v>
      </c>
      <c r="H6" s="23" t="str">
        <f t="shared" si="2"/>
        <v>REPROVADO</v>
      </c>
      <c r="I6" s="3"/>
    </row>
    <row r="7" spans="2:9" x14ac:dyDescent="0.25">
      <c r="B7" s="22" t="s">
        <v>5</v>
      </c>
      <c r="C7" s="23">
        <v>8</v>
      </c>
      <c r="D7" s="23">
        <v>7</v>
      </c>
      <c r="E7" s="24">
        <f t="shared" si="0"/>
        <v>7.5</v>
      </c>
      <c r="F7" s="23"/>
      <c r="G7" s="23">
        <f t="shared" si="1"/>
        <v>3.75</v>
      </c>
      <c r="H7" s="23" t="str">
        <f t="shared" si="2"/>
        <v>REPROVADO</v>
      </c>
    </row>
    <row r="8" spans="2:9" x14ac:dyDescent="0.25">
      <c r="B8" s="22" t="s">
        <v>2</v>
      </c>
      <c r="C8" s="23">
        <v>2</v>
      </c>
      <c r="D8" s="23">
        <v>4</v>
      </c>
      <c r="E8" s="24">
        <f t="shared" si="0"/>
        <v>3</v>
      </c>
      <c r="F8" s="23">
        <v>4</v>
      </c>
      <c r="G8" s="23">
        <f t="shared" si="1"/>
        <v>3.5</v>
      </c>
      <c r="H8" s="23" t="str">
        <f t="shared" si="2"/>
        <v>REPROVADO</v>
      </c>
    </row>
    <row r="9" spans="2:9" ht="15.75" thickBot="1" x14ac:dyDescent="0.3"/>
    <row r="10" spans="2:9" ht="15.75" x14ac:dyDescent="0.25">
      <c r="B10" s="25" t="s">
        <v>22</v>
      </c>
      <c r="C10" s="26"/>
      <c r="D10" s="26"/>
      <c r="E10" s="27"/>
    </row>
    <row r="11" spans="2:9" x14ac:dyDescent="0.25">
      <c r="B11" s="28" t="s">
        <v>23</v>
      </c>
      <c r="C11" s="11"/>
      <c r="D11" s="12"/>
      <c r="E11" s="29"/>
    </row>
    <row r="12" spans="2:9" x14ac:dyDescent="0.25">
      <c r="B12" s="28" t="s">
        <v>24</v>
      </c>
      <c r="C12" s="11"/>
      <c r="D12" s="12"/>
      <c r="E12" s="29"/>
    </row>
    <row r="13" spans="2:9" x14ac:dyDescent="0.25">
      <c r="B13" s="28"/>
      <c r="C13" s="11"/>
      <c r="D13" s="12"/>
      <c r="E13" s="29"/>
    </row>
    <row r="14" spans="2:9" x14ac:dyDescent="0.25">
      <c r="B14" s="28" t="s">
        <v>25</v>
      </c>
      <c r="C14" s="11"/>
      <c r="D14" s="12"/>
      <c r="E14" s="29"/>
    </row>
    <row r="15" spans="2:9" x14ac:dyDescent="0.25">
      <c r="B15" s="51" t="s">
        <v>26</v>
      </c>
      <c r="C15" s="52"/>
      <c r="D15" s="52"/>
      <c r="E15" s="53"/>
    </row>
    <row r="16" spans="2:9" x14ac:dyDescent="0.25">
      <c r="B16" s="51"/>
      <c r="C16" s="52"/>
      <c r="D16" s="52"/>
      <c r="E16" s="53"/>
    </row>
    <row r="17" spans="2:5" ht="12.75" customHeight="1" x14ac:dyDescent="0.25">
      <c r="B17" s="51"/>
      <c r="C17" s="52"/>
      <c r="D17" s="52"/>
      <c r="E17" s="53"/>
    </row>
    <row r="18" spans="2:5" ht="5.25" customHeight="1" x14ac:dyDescent="0.25">
      <c r="B18" s="54"/>
      <c r="C18" s="55"/>
      <c r="D18" s="55"/>
      <c r="E18" s="56"/>
    </row>
  </sheetData>
  <mergeCells count="1">
    <mergeCell ref="B15:E18"/>
  </mergeCells>
  <conditionalFormatting sqref="B4:H8">
    <cfRule type="expression" dxfId="2" priority="2">
      <formula>IF($H4 = "REPROVADO", 1, 0)</formula>
    </cfRule>
    <cfRule type="expression" dxfId="3" priority="1">
      <formula>IF($H4 = "APROVADO", 1, 0)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2026-02-25T22:01:33Z</dcterms:modified>
</cp:coreProperties>
</file>