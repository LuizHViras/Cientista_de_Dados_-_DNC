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ario\03 - Desafio - Organize os Dados de um Negocio com Excel\Realizado\"/>
    </mc:Choice>
  </mc:AlternateContent>
  <xr:revisionPtr revIDLastSave="0" documentId="13_ncr:1_{5F064E8D-EA4C-4D1E-AE79-523BE3C8C058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Entrada" sheetId="1" r:id="rId1"/>
    <sheet name="Saida" sheetId="2" r:id="rId2"/>
    <sheet name="Cadastro" sheetId="3" r:id="rId3"/>
    <sheet name="Resumo Estoque" sheetId="6" r:id="rId4"/>
    <sheet name="Painel" sheetId="7" r:id="rId5"/>
    <sheet name="Dashboard" sheetId="9" r:id="rId6"/>
  </sheets>
  <definedNames>
    <definedName name="_xlnm._FilterDatabase" localSheetId="2" hidden="1">Cadastro!$A$1:$V$1000</definedName>
    <definedName name="_xlnm._FilterDatabase" localSheetId="0" hidden="1">Entrada!$A$1:$Z$501</definedName>
    <definedName name="SegmentaçãodeDados_Categoria">#N/A</definedName>
    <definedName name="SegmentaçãodeDados_Fl_Estoque">#N/A</definedName>
  </definedNames>
  <calcPr calcId="191029"/>
  <pivotCaches>
    <pivotCache cacheId="16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1" i="6" l="1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E24" i="6"/>
  <c r="E89" i="6"/>
  <c r="E46" i="6"/>
  <c r="E45" i="6"/>
  <c r="E78" i="6"/>
  <c r="E90" i="6"/>
  <c r="E47" i="6"/>
  <c r="E58" i="6"/>
  <c r="E43" i="6"/>
  <c r="E103" i="6"/>
  <c r="E104" i="6"/>
  <c r="E30" i="6"/>
  <c r="E19" i="6"/>
  <c r="E111" i="6"/>
  <c r="E63" i="6"/>
  <c r="E32" i="6"/>
  <c r="E60" i="6"/>
  <c r="E22" i="6"/>
  <c r="E67" i="6"/>
  <c r="E6" i="6"/>
  <c r="E101" i="6"/>
  <c r="E113" i="6"/>
  <c r="E120" i="6"/>
  <c r="E31" i="6"/>
  <c r="E69" i="6"/>
  <c r="E92" i="6"/>
  <c r="E42" i="6"/>
  <c r="E36" i="6"/>
  <c r="E117" i="6"/>
  <c r="E23" i="6"/>
  <c r="E28" i="6"/>
  <c r="E100" i="6"/>
  <c r="E33" i="6"/>
  <c r="E37" i="6"/>
  <c r="E3" i="6"/>
  <c r="E25" i="6"/>
  <c r="E99" i="6"/>
  <c r="E34" i="6"/>
  <c r="E91" i="6"/>
  <c r="E15" i="6"/>
  <c r="E59" i="6"/>
  <c r="E29" i="6"/>
  <c r="E17" i="6"/>
  <c r="E75" i="6"/>
  <c r="E56" i="6"/>
  <c r="E20" i="6"/>
  <c r="E93" i="6"/>
  <c r="E10" i="6"/>
  <c r="E76" i="6"/>
  <c r="E53" i="6"/>
  <c r="E40" i="6"/>
  <c r="E108" i="6"/>
  <c r="E82" i="6"/>
  <c r="E118" i="6"/>
  <c r="E116" i="6"/>
  <c r="E55" i="6"/>
  <c r="E105" i="6"/>
  <c r="E49" i="6"/>
  <c r="E38" i="6"/>
  <c r="E110" i="6"/>
  <c r="E106" i="6"/>
  <c r="E8" i="6"/>
  <c r="E9" i="6"/>
  <c r="E26" i="6"/>
  <c r="E14" i="6"/>
  <c r="E86" i="6"/>
  <c r="E80" i="6"/>
  <c r="E87" i="6"/>
  <c r="E35" i="6"/>
  <c r="E54" i="6"/>
  <c r="E13" i="6"/>
  <c r="E77" i="6"/>
  <c r="E98" i="6"/>
  <c r="E5" i="6"/>
  <c r="E109" i="6"/>
  <c r="E72" i="6"/>
  <c r="E18" i="6"/>
  <c r="E88" i="6"/>
  <c r="E51" i="6"/>
  <c r="E102" i="6"/>
  <c r="E119" i="6"/>
  <c r="E48" i="6"/>
  <c r="E95" i="6"/>
  <c r="E39" i="6"/>
  <c r="E73" i="6"/>
  <c r="E84" i="6"/>
  <c r="E97" i="6"/>
  <c r="E7" i="6"/>
  <c r="E121" i="6"/>
  <c r="E2" i="6"/>
  <c r="E70" i="6"/>
  <c r="E64" i="6"/>
  <c r="E11" i="6"/>
  <c r="E16" i="6"/>
  <c r="E62" i="6"/>
  <c r="E114" i="6"/>
  <c r="E74" i="6"/>
  <c r="E52" i="6"/>
  <c r="E94" i="6"/>
  <c r="E115" i="6"/>
  <c r="E21" i="6"/>
  <c r="E112" i="6"/>
  <c r="E57" i="6"/>
  <c r="E12" i="6"/>
  <c r="E81" i="6"/>
  <c r="E66" i="6"/>
  <c r="E79" i="6"/>
  <c r="E50" i="6"/>
  <c r="E61" i="6"/>
  <c r="E41" i="6"/>
  <c r="E44" i="6"/>
  <c r="E68" i="6"/>
  <c r="E71" i="6"/>
  <c r="E27" i="6"/>
  <c r="E85" i="6"/>
  <c r="E65" i="6"/>
  <c r="E4" i="6"/>
  <c r="E96" i="6"/>
  <c r="E83" i="6"/>
  <c r="E107" i="6"/>
  <c r="F46" i="6"/>
  <c r="D24" i="6"/>
  <c r="D89" i="6"/>
  <c r="D46" i="6"/>
  <c r="D45" i="6"/>
  <c r="D78" i="6"/>
  <c r="D90" i="6"/>
  <c r="D47" i="6"/>
  <c r="F47" i="6" s="1"/>
  <c r="D58" i="6"/>
  <c r="F58" i="6" s="1"/>
  <c r="D43" i="6"/>
  <c r="F43" i="6" s="1"/>
  <c r="D103" i="6"/>
  <c r="D104" i="6"/>
  <c r="D30" i="6"/>
  <c r="D19" i="6"/>
  <c r="D111" i="6"/>
  <c r="D63" i="6"/>
  <c r="F63" i="6" s="1"/>
  <c r="D32" i="6"/>
  <c r="F32" i="6" s="1"/>
  <c r="D60" i="6"/>
  <c r="F60" i="6" s="1"/>
  <c r="D22" i="6"/>
  <c r="D67" i="6"/>
  <c r="D6" i="6"/>
  <c r="D101" i="6"/>
  <c r="D113" i="6"/>
  <c r="D120" i="6"/>
  <c r="F120" i="6" s="1"/>
  <c r="D31" i="6"/>
  <c r="F31" i="6" s="1"/>
  <c r="D69" i="6"/>
  <c r="F69" i="6" s="1"/>
  <c r="D92" i="6"/>
  <c r="D42" i="6"/>
  <c r="D36" i="6"/>
  <c r="D117" i="6"/>
  <c r="D23" i="6"/>
  <c r="D28" i="6"/>
  <c r="F28" i="6" s="1"/>
  <c r="D100" i="6"/>
  <c r="F100" i="6" s="1"/>
  <c r="D33" i="6"/>
  <c r="F33" i="6" s="1"/>
  <c r="D37" i="6"/>
  <c r="D3" i="6"/>
  <c r="D25" i="6"/>
  <c r="D99" i="6"/>
  <c r="D34" i="6"/>
  <c r="D91" i="6"/>
  <c r="F91" i="6" s="1"/>
  <c r="D15" i="6"/>
  <c r="F15" i="6" s="1"/>
  <c r="D59" i="6"/>
  <c r="F59" i="6" s="1"/>
  <c r="D29" i="6"/>
  <c r="D17" i="6"/>
  <c r="D75" i="6"/>
  <c r="D56" i="6"/>
  <c r="D20" i="6"/>
  <c r="D93" i="6"/>
  <c r="F93" i="6" s="1"/>
  <c r="D10" i="6"/>
  <c r="F10" i="6" s="1"/>
  <c r="D76" i="6"/>
  <c r="F76" i="6" s="1"/>
  <c r="D53" i="6"/>
  <c r="D40" i="6"/>
  <c r="D108" i="6"/>
  <c r="D82" i="6"/>
  <c r="D118" i="6"/>
  <c r="D116" i="6"/>
  <c r="F116" i="6" s="1"/>
  <c r="D55" i="6"/>
  <c r="F55" i="6" s="1"/>
  <c r="D105" i="6"/>
  <c r="F105" i="6" s="1"/>
  <c r="D49" i="6"/>
  <c r="D38" i="6"/>
  <c r="D110" i="6"/>
  <c r="D106" i="6"/>
  <c r="D8" i="6"/>
  <c r="D9" i="6"/>
  <c r="F9" i="6" s="1"/>
  <c r="D26" i="6"/>
  <c r="F26" i="6" s="1"/>
  <c r="D14" i="6"/>
  <c r="F14" i="6" s="1"/>
  <c r="D86" i="6"/>
  <c r="D80" i="6"/>
  <c r="D87" i="6"/>
  <c r="D35" i="6"/>
  <c r="D54" i="6"/>
  <c r="D13" i="6"/>
  <c r="F13" i="6" s="1"/>
  <c r="D77" i="6"/>
  <c r="F77" i="6" s="1"/>
  <c r="D98" i="6"/>
  <c r="F98" i="6" s="1"/>
  <c r="D5" i="6"/>
  <c r="D109" i="6"/>
  <c r="D72" i="6"/>
  <c r="D18" i="6"/>
  <c r="D88" i="6"/>
  <c r="D51" i="6"/>
  <c r="D102" i="6"/>
  <c r="F102" i="6" s="1"/>
  <c r="D119" i="6"/>
  <c r="F119" i="6" s="1"/>
  <c r="D48" i="6"/>
  <c r="F48" i="6" s="1"/>
  <c r="D95" i="6"/>
  <c r="D39" i="6"/>
  <c r="D73" i="6"/>
  <c r="D84" i="6"/>
  <c r="D97" i="6"/>
  <c r="F97" i="6" s="1"/>
  <c r="D7" i="6"/>
  <c r="F7" i="6" s="1"/>
  <c r="D121" i="6"/>
  <c r="F121" i="6" s="1"/>
  <c r="D2" i="6"/>
  <c r="F2" i="6" s="1"/>
  <c r="D70" i="6"/>
  <c r="D64" i="6"/>
  <c r="D11" i="6"/>
  <c r="D16" i="6"/>
  <c r="D62" i="6"/>
  <c r="F62" i="6" s="1"/>
  <c r="D114" i="6"/>
  <c r="F114" i="6" s="1"/>
  <c r="D74" i="6"/>
  <c r="F74" i="6" s="1"/>
  <c r="D52" i="6"/>
  <c r="F52" i="6" s="1"/>
  <c r="D94" i="6"/>
  <c r="D115" i="6"/>
  <c r="D21" i="6"/>
  <c r="D112" i="6"/>
  <c r="D57" i="6"/>
  <c r="D12" i="6"/>
  <c r="F12" i="6" s="1"/>
  <c r="D81" i="6"/>
  <c r="F81" i="6" s="1"/>
  <c r="D66" i="6"/>
  <c r="F66" i="6" s="1"/>
  <c r="D79" i="6"/>
  <c r="F79" i="6" s="1"/>
  <c r="D50" i="6"/>
  <c r="D61" i="6"/>
  <c r="D41" i="6"/>
  <c r="D44" i="6"/>
  <c r="D68" i="6"/>
  <c r="F68" i="6" s="1"/>
  <c r="D71" i="6"/>
  <c r="F71" i="6" s="1"/>
  <c r="D27" i="6"/>
  <c r="F27" i="6" s="1"/>
  <c r="D85" i="6"/>
  <c r="F85" i="6" s="1"/>
  <c r="D65" i="6"/>
  <c r="D4" i="6"/>
  <c r="F4" i="6" s="1"/>
  <c r="D96" i="6"/>
  <c r="D83" i="6"/>
  <c r="D107" i="6"/>
  <c r="F107" i="6" s="1"/>
  <c r="P10" i="9"/>
  <c r="J10" i="9"/>
  <c r="D10" i="9"/>
  <c r="G84" i="6" l="1"/>
  <c r="G118" i="6"/>
  <c r="G113" i="6"/>
  <c r="G35" i="6"/>
  <c r="G99" i="6"/>
  <c r="G78" i="6"/>
  <c r="F83" i="6"/>
  <c r="F44" i="6"/>
  <c r="F57" i="6"/>
  <c r="F51" i="6"/>
  <c r="G51" i="6" s="1"/>
  <c r="G39" i="6"/>
  <c r="G110" i="6"/>
  <c r="G108" i="6"/>
  <c r="G6" i="6"/>
  <c r="G85" i="6"/>
  <c r="G79" i="6"/>
  <c r="G109" i="6"/>
  <c r="G17" i="6"/>
  <c r="G104" i="6"/>
  <c r="G46" i="6"/>
  <c r="F88" i="6"/>
  <c r="G88" i="6" s="1"/>
  <c r="F54" i="6"/>
  <c r="G54" i="6" s="1"/>
  <c r="F8" i="6"/>
  <c r="G8" i="6" s="1"/>
  <c r="F118" i="6"/>
  <c r="F20" i="6"/>
  <c r="G20" i="6" s="1"/>
  <c r="F34" i="6"/>
  <c r="G34" i="6" s="1"/>
  <c r="F23" i="6"/>
  <c r="G23" i="6" s="1"/>
  <c r="F113" i="6"/>
  <c r="F111" i="6"/>
  <c r="G111" i="6" s="1"/>
  <c r="F90" i="6"/>
  <c r="G90" i="6" s="1"/>
  <c r="G27" i="6"/>
  <c r="G66" i="6"/>
  <c r="G52" i="6"/>
  <c r="G2" i="6"/>
  <c r="G48" i="6"/>
  <c r="F112" i="6"/>
  <c r="G112" i="6" s="1"/>
  <c r="F16" i="6"/>
  <c r="G16" i="6" s="1"/>
  <c r="F84" i="6"/>
  <c r="F18" i="6"/>
  <c r="G18" i="6" s="1"/>
  <c r="F35" i="6"/>
  <c r="F106" i="6"/>
  <c r="G106" i="6" s="1"/>
  <c r="F82" i="6"/>
  <c r="G82" i="6" s="1"/>
  <c r="F56" i="6"/>
  <c r="G56" i="6" s="1"/>
  <c r="F99" i="6"/>
  <c r="F117" i="6"/>
  <c r="G117" i="6" s="1"/>
  <c r="F101" i="6"/>
  <c r="G101" i="6" s="1"/>
  <c r="F19" i="6"/>
  <c r="G19" i="6" s="1"/>
  <c r="F78" i="6"/>
  <c r="F65" i="6"/>
  <c r="G71" i="6"/>
  <c r="G81" i="6"/>
  <c r="G74" i="6"/>
  <c r="G121" i="6"/>
  <c r="G119" i="6"/>
  <c r="G98" i="6"/>
  <c r="G14" i="6"/>
  <c r="G105" i="6"/>
  <c r="G76" i="6"/>
  <c r="G59" i="6"/>
  <c r="G33" i="6"/>
  <c r="G69" i="6"/>
  <c r="G60" i="6"/>
  <c r="G43" i="6"/>
  <c r="F41" i="6"/>
  <c r="G41" i="6" s="1"/>
  <c r="F21" i="6"/>
  <c r="G21" i="6" s="1"/>
  <c r="F11" i="6"/>
  <c r="G11" i="6" s="1"/>
  <c r="F73" i="6"/>
  <c r="G73" i="6" s="1"/>
  <c r="F72" i="6"/>
  <c r="G72" i="6" s="1"/>
  <c r="F87" i="6"/>
  <c r="H87" i="6" s="1" a="1"/>
  <c r="H87" i="6" s="1"/>
  <c r="F110" i="6"/>
  <c r="F108" i="6"/>
  <c r="F75" i="6"/>
  <c r="G75" i="6" s="1"/>
  <c r="F25" i="6"/>
  <c r="H25" i="6" s="1" a="1"/>
  <c r="H25" i="6" s="1"/>
  <c r="F36" i="6"/>
  <c r="G36" i="6" s="1"/>
  <c r="F6" i="6"/>
  <c r="F30" i="6"/>
  <c r="G30" i="6" s="1"/>
  <c r="F45" i="6"/>
  <c r="H45" i="6" s="1" a="1"/>
  <c r="H45" i="6" s="1"/>
  <c r="G68" i="6"/>
  <c r="G12" i="6"/>
  <c r="G114" i="6"/>
  <c r="G7" i="6"/>
  <c r="G102" i="6"/>
  <c r="G77" i="6"/>
  <c r="G26" i="6"/>
  <c r="G55" i="6"/>
  <c r="G10" i="6"/>
  <c r="G15" i="6"/>
  <c r="G100" i="6"/>
  <c r="G31" i="6"/>
  <c r="G32" i="6"/>
  <c r="G58" i="6"/>
  <c r="F61" i="6"/>
  <c r="G61" i="6" s="1"/>
  <c r="F115" i="6"/>
  <c r="H115" i="6" s="1" a="1"/>
  <c r="H115" i="6" s="1"/>
  <c r="F64" i="6"/>
  <c r="G64" i="6" s="1"/>
  <c r="F39" i="6"/>
  <c r="F109" i="6"/>
  <c r="F80" i="6"/>
  <c r="G80" i="6" s="1"/>
  <c r="F38" i="6"/>
  <c r="G38" i="6" s="1"/>
  <c r="F40" i="6"/>
  <c r="G40" i="6" s="1"/>
  <c r="F17" i="6"/>
  <c r="F3" i="6"/>
  <c r="G3" i="6" s="1"/>
  <c r="F42" i="6"/>
  <c r="G42" i="6" s="1"/>
  <c r="F67" i="6"/>
  <c r="G67" i="6" s="1"/>
  <c r="F104" i="6"/>
  <c r="G107" i="6"/>
  <c r="G62" i="6"/>
  <c r="G97" i="6"/>
  <c r="G13" i="6"/>
  <c r="G9" i="6"/>
  <c r="G116" i="6"/>
  <c r="G93" i="6"/>
  <c r="G91" i="6"/>
  <c r="G28" i="6"/>
  <c r="G120" i="6"/>
  <c r="G63" i="6"/>
  <c r="G47" i="6"/>
  <c r="F96" i="6"/>
  <c r="G96" i="6" s="1"/>
  <c r="F50" i="6"/>
  <c r="G50" i="6" s="1"/>
  <c r="F94" i="6"/>
  <c r="G94" i="6" s="1"/>
  <c r="F70" i="6"/>
  <c r="G70" i="6" s="1"/>
  <c r="F95" i="6"/>
  <c r="G95" i="6" s="1"/>
  <c r="F5" i="6"/>
  <c r="G5" i="6" s="1"/>
  <c r="F86" i="6"/>
  <c r="G86" i="6" s="1"/>
  <c r="F49" i="6"/>
  <c r="G49" i="6" s="1"/>
  <c r="F53" i="6"/>
  <c r="G53" i="6" s="1"/>
  <c r="F29" i="6"/>
  <c r="G29" i="6" s="1"/>
  <c r="F37" i="6"/>
  <c r="G37" i="6" s="1"/>
  <c r="F92" i="6"/>
  <c r="G92" i="6" s="1"/>
  <c r="F22" i="6"/>
  <c r="G22" i="6" s="1"/>
  <c r="F103" i="6"/>
  <c r="G103" i="6" s="1"/>
  <c r="F89" i="6"/>
  <c r="G89" i="6" s="1"/>
  <c r="F24" i="6"/>
  <c r="G24" i="6" s="1"/>
  <c r="G57" i="6"/>
  <c r="G83" i="6"/>
  <c r="G44" i="6"/>
  <c r="G65" i="6"/>
  <c r="H61" i="6" a="1"/>
  <c r="H61" i="6" s="1"/>
  <c r="H56" i="6" a="1"/>
  <c r="H56" i="6" s="1"/>
  <c r="H107" i="6" a="1"/>
  <c r="H107" i="6" s="1"/>
  <c r="H68" i="6" a="1"/>
  <c r="H68" i="6" s="1"/>
  <c r="H12" i="6" a="1"/>
  <c r="H12" i="6" s="1"/>
  <c r="H114" i="6" a="1"/>
  <c r="H114" i="6" s="1"/>
  <c r="H7" i="6" a="1"/>
  <c r="H7" i="6" s="1"/>
  <c r="H102" i="6" a="1"/>
  <c r="H102" i="6" s="1"/>
  <c r="H77" i="6" a="1"/>
  <c r="H77" i="6" s="1"/>
  <c r="H26" i="6" a="1"/>
  <c r="H26" i="6" s="1"/>
  <c r="H55" i="6" a="1"/>
  <c r="H55" i="6" s="1"/>
  <c r="H10" i="6" a="1"/>
  <c r="H10" i="6" s="1"/>
  <c r="H15" i="6" a="1"/>
  <c r="H15" i="6" s="1"/>
  <c r="H100" i="6" a="1"/>
  <c r="H100" i="6" s="1"/>
  <c r="H31" i="6" a="1"/>
  <c r="H31" i="6" s="1"/>
  <c r="H32" i="6" a="1"/>
  <c r="H32" i="6" s="1"/>
  <c r="H58" i="6" a="1"/>
  <c r="H58" i="6" s="1"/>
  <c r="H11" i="6" a="1"/>
  <c r="H11" i="6" s="1"/>
  <c r="H106" i="6" a="1"/>
  <c r="H106" i="6" s="1"/>
  <c r="H78" i="6" a="1"/>
  <c r="H78" i="6" s="1"/>
  <c r="H83" i="6" a="1"/>
  <c r="H83" i="6" s="1"/>
  <c r="H44" i="6" a="1"/>
  <c r="H44" i="6" s="1"/>
  <c r="H57" i="6" a="1"/>
  <c r="H57" i="6" s="1"/>
  <c r="H62" i="6" a="1"/>
  <c r="H62" i="6" s="1"/>
  <c r="H97" i="6" a="1"/>
  <c r="H97" i="6" s="1"/>
  <c r="H13" i="6" a="1"/>
  <c r="H13" i="6" s="1"/>
  <c r="H9" i="6" a="1"/>
  <c r="H9" i="6" s="1"/>
  <c r="H116" i="6" a="1"/>
  <c r="H116" i="6" s="1"/>
  <c r="H93" i="6" a="1"/>
  <c r="H93" i="6" s="1"/>
  <c r="H91" i="6" a="1"/>
  <c r="H91" i="6" s="1"/>
  <c r="H28" i="6" a="1"/>
  <c r="H28" i="6" s="1"/>
  <c r="H120" i="6" a="1"/>
  <c r="H120" i="6" s="1"/>
  <c r="H63" i="6" a="1"/>
  <c r="H63" i="6" s="1"/>
  <c r="H47" i="6" a="1"/>
  <c r="H47" i="6" s="1"/>
  <c r="H41" i="6" a="1"/>
  <c r="H41" i="6" s="1"/>
  <c r="H112" i="6" a="1"/>
  <c r="H112" i="6" s="1"/>
  <c r="H16" i="6" a="1"/>
  <c r="H16" i="6" s="1"/>
  <c r="H84" i="6" a="1"/>
  <c r="H84" i="6" s="1"/>
  <c r="H88" i="6" a="1"/>
  <c r="H88" i="6" s="1"/>
  <c r="H54" i="6" a="1"/>
  <c r="H54" i="6" s="1"/>
  <c r="H8" i="6" a="1"/>
  <c r="H8" i="6" s="1"/>
  <c r="H118" i="6" a="1"/>
  <c r="H118" i="6" s="1"/>
  <c r="H20" i="6" a="1"/>
  <c r="H20" i="6" s="1"/>
  <c r="H34" i="6" a="1"/>
  <c r="H34" i="6" s="1"/>
  <c r="H23" i="6" a="1"/>
  <c r="H23" i="6" s="1"/>
  <c r="H113" i="6" a="1"/>
  <c r="H113" i="6" s="1"/>
  <c r="H111" i="6" a="1"/>
  <c r="H111" i="6" s="1"/>
  <c r="H90" i="6" a="1"/>
  <c r="H90" i="6" s="1"/>
  <c r="H18" i="6" a="1"/>
  <c r="H18" i="6" s="1"/>
  <c r="H64" i="6" a="1"/>
  <c r="H64" i="6" s="1"/>
  <c r="H39" i="6" a="1"/>
  <c r="H39" i="6" s="1"/>
  <c r="H72" i="6" a="1"/>
  <c r="H72" i="6" s="1"/>
  <c r="H110" i="6" a="1"/>
  <c r="H110" i="6" s="1"/>
  <c r="H108" i="6" a="1"/>
  <c r="H108" i="6" s="1"/>
  <c r="H75" i="6" a="1"/>
  <c r="H75" i="6" s="1"/>
  <c r="H36" i="6" a="1"/>
  <c r="H36" i="6" s="1"/>
  <c r="H6" i="6" a="1"/>
  <c r="H6" i="6" s="1"/>
  <c r="H30" i="6" a="1"/>
  <c r="H30" i="6" s="1"/>
  <c r="H73" i="6" a="1"/>
  <c r="H73" i="6" s="1"/>
  <c r="H82" i="6" a="1"/>
  <c r="H82" i="6" s="1"/>
  <c r="H19" i="6" a="1"/>
  <c r="H19" i="6" s="1"/>
  <c r="H85" i="6" a="1"/>
  <c r="H85" i="6" s="1"/>
  <c r="H79" i="6" a="1"/>
  <c r="H79" i="6" s="1"/>
  <c r="H94" i="6" a="1"/>
  <c r="H94" i="6" s="1"/>
  <c r="H70" i="6" a="1"/>
  <c r="H70" i="6" s="1"/>
  <c r="H109" i="6" a="1"/>
  <c r="H109" i="6" s="1"/>
  <c r="H80" i="6" a="1"/>
  <c r="H80" i="6" s="1"/>
  <c r="H38" i="6" a="1"/>
  <c r="H38" i="6" s="1"/>
  <c r="H40" i="6" a="1"/>
  <c r="H40" i="6" s="1"/>
  <c r="H17" i="6" a="1"/>
  <c r="H17" i="6" s="1"/>
  <c r="H3" i="6" a="1"/>
  <c r="H3" i="6" s="1"/>
  <c r="H42" i="6" a="1"/>
  <c r="H42" i="6" s="1"/>
  <c r="H67" i="6" a="1"/>
  <c r="H67" i="6" s="1"/>
  <c r="H104" i="6" a="1"/>
  <c r="H104" i="6" s="1"/>
  <c r="H46" i="6" a="1"/>
  <c r="H46" i="6" s="1"/>
  <c r="H99" i="6" a="1"/>
  <c r="H99" i="6" s="1"/>
  <c r="H50" i="6" a="1"/>
  <c r="H50" i="6" s="1"/>
  <c r="H27" i="6" a="1"/>
  <c r="H27" i="6" s="1"/>
  <c r="H66" i="6" a="1"/>
  <c r="H66" i="6" s="1"/>
  <c r="H52" i="6" a="1"/>
  <c r="H52" i="6" s="1"/>
  <c r="H2" i="6" a="1"/>
  <c r="H2" i="6" s="1"/>
  <c r="H48" i="6" a="1"/>
  <c r="H48" i="6" s="1"/>
  <c r="H5" i="6" a="1"/>
  <c r="H5" i="6" s="1"/>
  <c r="H86" i="6" a="1"/>
  <c r="H86" i="6" s="1"/>
  <c r="H49" i="6" a="1"/>
  <c r="H49" i="6" s="1"/>
  <c r="H53" i="6" a="1"/>
  <c r="H53" i="6" s="1"/>
  <c r="H29" i="6" a="1"/>
  <c r="H29" i="6" s="1"/>
  <c r="H37" i="6" a="1"/>
  <c r="H37" i="6" s="1"/>
  <c r="H92" i="6" a="1"/>
  <c r="H92" i="6" s="1"/>
  <c r="H22" i="6" a="1"/>
  <c r="H22" i="6" s="1"/>
  <c r="H103" i="6" a="1"/>
  <c r="H103" i="6" s="1"/>
  <c r="H89" i="6" a="1"/>
  <c r="H89" i="6" s="1"/>
  <c r="H35" i="6" a="1"/>
  <c r="H35" i="6" s="1"/>
  <c r="H101" i="6" a="1"/>
  <c r="H101" i="6" s="1"/>
  <c r="H65" i="6" a="1"/>
  <c r="H65" i="6" s="1"/>
  <c r="H71" i="6" a="1"/>
  <c r="H71" i="6" s="1"/>
  <c r="H81" i="6" a="1"/>
  <c r="H81" i="6" s="1"/>
  <c r="H74" i="6" a="1"/>
  <c r="H74" i="6" s="1"/>
  <c r="H121" i="6" a="1"/>
  <c r="H121" i="6" s="1"/>
  <c r="H119" i="6" a="1"/>
  <c r="H119" i="6" s="1"/>
  <c r="H98" i="6" a="1"/>
  <c r="H98" i="6" s="1"/>
  <c r="H14" i="6" a="1"/>
  <c r="H14" i="6" s="1"/>
  <c r="H105" i="6" a="1"/>
  <c r="H105" i="6" s="1"/>
  <c r="H76" i="6" a="1"/>
  <c r="H76" i="6" s="1"/>
  <c r="H59" i="6" a="1"/>
  <c r="H59" i="6" s="1"/>
  <c r="H33" i="6" a="1"/>
  <c r="H33" i="6" s="1"/>
  <c r="H69" i="6" a="1"/>
  <c r="H69" i="6" s="1"/>
  <c r="H60" i="6" a="1"/>
  <c r="H60" i="6" s="1"/>
  <c r="H43" i="6" a="1"/>
  <c r="H43" i="6" s="1"/>
  <c r="H24" i="6" a="1"/>
  <c r="H24" i="6" s="1"/>
  <c r="H51" i="6" l="1" a="1"/>
  <c r="H51" i="6" s="1"/>
  <c r="H95" i="6" a="1"/>
  <c r="H95" i="6" s="1"/>
  <c r="G45" i="6"/>
  <c r="G87" i="6"/>
  <c r="G25" i="6"/>
  <c r="G115" i="6"/>
  <c r="H21" i="6" a="1"/>
  <c r="H21" i="6" s="1"/>
  <c r="H117" i="6" a="1"/>
  <c r="H117" i="6" s="1"/>
  <c r="H96" i="6" a="1"/>
  <c r="H96" i="6" s="1"/>
  <c r="G4" i="6"/>
  <c r="H4" i="6" a="1"/>
  <c r="H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<sst xmlns="http://schemas.openxmlformats.org/spreadsheetml/2006/main" count="2657" uniqueCount="197">
  <si>
    <t>Data</t>
  </si>
  <si>
    <t>SKU</t>
  </si>
  <si>
    <t>Produto</t>
  </si>
  <si>
    <t>Quantidade</t>
  </si>
  <si>
    <t>2085A</t>
  </si>
  <si>
    <t>Notebook Ultrafino</t>
  </si>
  <si>
    <t>1679C</t>
  </si>
  <si>
    <t>7824D</t>
  </si>
  <si>
    <t>Headset Gamer</t>
  </si>
  <si>
    <t>2580D</t>
  </si>
  <si>
    <t>9491C</t>
  </si>
  <si>
    <t>3443C</t>
  </si>
  <si>
    <t>8046A</t>
  </si>
  <si>
    <t>Hub USB 3.0</t>
  </si>
  <si>
    <t>5470C</t>
  </si>
  <si>
    <t>6656A</t>
  </si>
  <si>
    <t>Carregador USB-C</t>
  </si>
  <si>
    <t>7435B</t>
  </si>
  <si>
    <t>4177B</t>
  </si>
  <si>
    <t>2443D</t>
  </si>
  <si>
    <t>Power Bank 10000mAh</t>
  </si>
  <si>
    <t>9530B</t>
  </si>
  <si>
    <t>Fonte 500W</t>
  </si>
  <si>
    <t>3898B</t>
  </si>
  <si>
    <t>Controle Xbox</t>
  </si>
  <si>
    <t>7076B</t>
  </si>
  <si>
    <t>Adaptador Bluetooth</t>
  </si>
  <si>
    <t>3760A</t>
  </si>
  <si>
    <t>Roteador Wi-Fi</t>
  </si>
  <si>
    <t>6331D</t>
  </si>
  <si>
    <t>5264C</t>
  </si>
  <si>
    <t>Placa de Vídeo 4GB</t>
  </si>
  <si>
    <t>6321A</t>
  </si>
  <si>
    <t>7774B</t>
  </si>
  <si>
    <t>8679B</t>
  </si>
  <si>
    <t>5949A</t>
  </si>
  <si>
    <t>1256C</t>
  </si>
  <si>
    <t>5437A</t>
  </si>
  <si>
    <t>4002D</t>
  </si>
  <si>
    <t>Cadeira Gamer</t>
  </si>
  <si>
    <t>2083A</t>
  </si>
  <si>
    <t>Cabo HDMI</t>
  </si>
  <si>
    <t>5959C</t>
  </si>
  <si>
    <t>9079D</t>
  </si>
  <si>
    <t>2168A</t>
  </si>
  <si>
    <t>9002A</t>
  </si>
  <si>
    <t>6492A</t>
  </si>
  <si>
    <t>9527D</t>
  </si>
  <si>
    <t>9646A</t>
  </si>
  <si>
    <t>1675A</t>
  </si>
  <si>
    <t>HD Externo 1TB</t>
  </si>
  <si>
    <t>6959C</t>
  </si>
  <si>
    <t>Cooler para CPU</t>
  </si>
  <si>
    <t>5337A</t>
  </si>
  <si>
    <t>3984B</t>
  </si>
  <si>
    <t>5564B</t>
  </si>
  <si>
    <t>2485D</t>
  </si>
  <si>
    <t>5334B</t>
  </si>
  <si>
    <t>1466B</t>
  </si>
  <si>
    <t>1885B</t>
  </si>
  <si>
    <t>5827A</t>
  </si>
  <si>
    <t>6150C</t>
  </si>
  <si>
    <t>Pendrive 64GB</t>
  </si>
  <si>
    <t>8828D</t>
  </si>
  <si>
    <t>4877A</t>
  </si>
  <si>
    <t>9485C</t>
  </si>
  <si>
    <t>8023A</t>
  </si>
  <si>
    <t>2192C</t>
  </si>
  <si>
    <t>9161D</t>
  </si>
  <si>
    <t>1465D</t>
  </si>
  <si>
    <t>3633A</t>
  </si>
  <si>
    <t>5941A</t>
  </si>
  <si>
    <t>6867A</t>
  </si>
  <si>
    <t>5968B</t>
  </si>
  <si>
    <t>5063B</t>
  </si>
  <si>
    <t>Monitor 24''</t>
  </si>
  <si>
    <t>4269B</t>
  </si>
  <si>
    <t>9068A</t>
  </si>
  <si>
    <t>3975C</t>
  </si>
  <si>
    <t>Webcam Full HD</t>
  </si>
  <si>
    <t>5021C</t>
  </si>
  <si>
    <t>4439B</t>
  </si>
  <si>
    <t>Suporte Monitor</t>
  </si>
  <si>
    <t>8445C</t>
  </si>
  <si>
    <t>5262B</t>
  </si>
  <si>
    <t>Teclado Mecânico</t>
  </si>
  <si>
    <t>8756C</t>
  </si>
  <si>
    <t>3657A</t>
  </si>
  <si>
    <t>1389D</t>
  </si>
  <si>
    <t>5712D</t>
  </si>
  <si>
    <t>8322C</t>
  </si>
  <si>
    <t>9150D</t>
  </si>
  <si>
    <t>4259C</t>
  </si>
  <si>
    <t>3059A</t>
  </si>
  <si>
    <t>2558A</t>
  </si>
  <si>
    <t>5118D</t>
  </si>
  <si>
    <t>4154D</t>
  </si>
  <si>
    <t>7085A</t>
  </si>
  <si>
    <t>3608A</t>
  </si>
  <si>
    <t>9853A</t>
  </si>
  <si>
    <t>5320D</t>
  </si>
  <si>
    <t>3891C</t>
  </si>
  <si>
    <t>6580A</t>
  </si>
  <si>
    <t>2362D</t>
  </si>
  <si>
    <t>4025A</t>
  </si>
  <si>
    <t>1220D</t>
  </si>
  <si>
    <t>7580B</t>
  </si>
  <si>
    <t>1120C</t>
  </si>
  <si>
    <t>1534A</t>
  </si>
  <si>
    <t>Mouse Óptico</t>
  </si>
  <si>
    <t>7928A</t>
  </si>
  <si>
    <t>3880C</t>
  </si>
  <si>
    <t>6100C</t>
  </si>
  <si>
    <t>3321A</t>
  </si>
  <si>
    <t>4836D</t>
  </si>
  <si>
    <t>8866B</t>
  </si>
  <si>
    <t>8367A</t>
  </si>
  <si>
    <t>9591C</t>
  </si>
  <si>
    <t>2286C</t>
  </si>
  <si>
    <t>3265C</t>
  </si>
  <si>
    <t>8593C</t>
  </si>
  <si>
    <t>8214A</t>
  </si>
  <si>
    <t>8345D</t>
  </si>
  <si>
    <t>6004A</t>
  </si>
  <si>
    <t>4159D</t>
  </si>
  <si>
    <t>3127C</t>
  </si>
  <si>
    <t>9019C</t>
  </si>
  <si>
    <t>7919C</t>
  </si>
  <si>
    <t>2651C</t>
  </si>
  <si>
    <t>1797D</t>
  </si>
  <si>
    <t>4528D</t>
  </si>
  <si>
    <t>6957A</t>
  </si>
  <si>
    <t>1698D</t>
  </si>
  <si>
    <t>7568D</t>
  </si>
  <si>
    <t>6932D</t>
  </si>
  <si>
    <t>9559A</t>
  </si>
  <si>
    <t>4592D</t>
  </si>
  <si>
    <t>5766B</t>
  </si>
  <si>
    <t>6300B</t>
  </si>
  <si>
    <t>2463C</t>
  </si>
  <si>
    <t>1751D</t>
  </si>
  <si>
    <t>8468C</t>
  </si>
  <si>
    <t>2525B</t>
  </si>
  <si>
    <t>3318C</t>
  </si>
  <si>
    <t>Descrição</t>
  </si>
  <si>
    <t>Categoria</t>
  </si>
  <si>
    <t>Preço</t>
  </si>
  <si>
    <t>Notebook com tela fina e processador rápido</t>
  </si>
  <si>
    <t>Componentes</t>
  </si>
  <si>
    <t>Hub com múltiplas portas USB 3.0</t>
  </si>
  <si>
    <t>Redes</t>
  </si>
  <si>
    <t>Placa de vídeo para jogos e edição gráfica</t>
  </si>
  <si>
    <t>Periféricos</t>
  </si>
  <si>
    <t>Fonte de alimentação estável para PCs</t>
  </si>
  <si>
    <t>Cabo HDMI com suporte a 4K</t>
  </si>
  <si>
    <t>Acessórios</t>
  </si>
  <si>
    <t>Adaptador para conexão Bluetooth em dispositivos</t>
  </si>
  <si>
    <t>Câmera com microfone embutido para videoconferência</t>
  </si>
  <si>
    <t>Imagem e Som</t>
  </si>
  <si>
    <t>Pendrive com alta velocidade de transferência</t>
  </si>
  <si>
    <t>Hardware</t>
  </si>
  <si>
    <t>Headset com isolamento de ruído e microfone</t>
  </si>
  <si>
    <t>Cooler eficiente para refrigeração de CPU</t>
  </si>
  <si>
    <t>Cadeira ergonômica com apoio lombar ajustável</t>
  </si>
  <si>
    <t>Roteador com Wi-Fi de banda dupla</t>
  </si>
  <si>
    <t>Bateria externa com duas saídas USB</t>
  </si>
  <si>
    <t>Armazenamento</t>
  </si>
  <si>
    <t>Suporte ajustável para dois monitores</t>
  </si>
  <si>
    <t>Teclado com iluminação RGB e teclas mecânicas</t>
  </si>
  <si>
    <t>Dispositivo com conexão USB de alta precisão</t>
  </si>
  <si>
    <t>Carregador rápido com entrada USB-C</t>
  </si>
  <si>
    <t>Unidade de armazenamento portátil com 1TB</t>
  </si>
  <si>
    <t>Monitor LED com resolução Full HD</t>
  </si>
  <si>
    <t>Controle sem fio compatível com PC e console</t>
  </si>
  <si>
    <t>Total Geral</t>
  </si>
  <si>
    <t>Qntd Entradas</t>
  </si>
  <si>
    <t>Qntd Saídas</t>
  </si>
  <si>
    <t>Saldo Atual</t>
  </si>
  <si>
    <t>Valor em Estoque</t>
  </si>
  <si>
    <t>Fl Estoque</t>
  </si>
  <si>
    <t>Rótulos de Linha</t>
  </si>
  <si>
    <t>Dashboard - Controle Estoque</t>
  </si>
  <si>
    <t>Soma de Qntd Entradas</t>
  </si>
  <si>
    <t>Soma de Qntd Saídas</t>
  </si>
  <si>
    <t>Soma de Saldo Atual</t>
  </si>
  <si>
    <t>Estoque Negativo</t>
  </si>
  <si>
    <t>Excesso</t>
  </si>
  <si>
    <t>Ok</t>
  </si>
  <si>
    <t>Crítico</t>
  </si>
  <si>
    <t>Contagem de SKU</t>
  </si>
  <si>
    <t>Média de Preço</t>
  </si>
  <si>
    <t>Soma de Valor em Estoque</t>
  </si>
  <si>
    <t>Valores</t>
  </si>
  <si>
    <t>Valor Total em Estoque</t>
  </si>
  <si>
    <t>% de SKU</t>
  </si>
  <si>
    <t>% de SKUs críticos</t>
  </si>
  <si>
    <t>Qntd de SKUs negativos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</si>
</sst>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5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14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0" fillId="0" borderId="0" xfId="0" applyNumberFormat="1" applyFont="1" applyAlignment="1"/>
    <xf numFmtId="1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0" fillId="0" borderId="0" xfId="1" applyNumberFormat="1" applyFont="1" applyAlignment="1"/>
    <xf numFmtId="44" fontId="0" fillId="0" borderId="0" xfId="2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44" fontId="0" fillId="0" borderId="0" xfId="0" applyNumberFormat="1" applyFont="1" applyAlignment="1"/>
    <xf numFmtId="41" fontId="0" fillId="0" borderId="0" xfId="0" applyNumberFormat="1" applyFont="1" applyAlignment="1"/>
    <xf numFmtId="0" fontId="5" fillId="2" borderId="0" xfId="0" applyFont="1" applyFill="1" applyAlignment="1">
      <alignment horizontal="center"/>
    </xf>
    <xf numFmtId="44" fontId="7" fillId="0" borderId="4" xfId="2" applyFont="1" applyBorder="1" applyAlignment="1">
      <alignment horizontal="center" vertical="center"/>
    </xf>
    <xf numFmtId="44" fontId="7" fillId="0" borderId="5" xfId="2" applyFont="1" applyBorder="1" applyAlignment="1">
      <alignment horizontal="center" vertical="center"/>
    </xf>
    <xf numFmtId="44" fontId="7" fillId="0" borderId="0" xfId="2" applyFont="1" applyBorder="1" applyAlignment="1">
      <alignment horizontal="center" vertical="center"/>
    </xf>
    <xf numFmtId="44" fontId="7" fillId="0" borderId="7" xfId="2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0" fontId="0" fillId="0" borderId="0" xfId="0" applyNumberFormat="1" applyFont="1" applyAlignment="1"/>
    <xf numFmtId="10" fontId="7" fillId="0" borderId="4" xfId="3" applyNumberFormat="1" applyFont="1" applyBorder="1" applyAlignment="1">
      <alignment horizontal="center" vertical="center"/>
    </xf>
    <xf numFmtId="10" fontId="7" fillId="0" borderId="5" xfId="3" applyNumberFormat="1" applyFont="1" applyBorder="1" applyAlignment="1">
      <alignment horizontal="center" vertical="center"/>
    </xf>
    <xf numFmtId="10" fontId="7" fillId="0" borderId="0" xfId="3" applyNumberFormat="1" applyFont="1" applyBorder="1" applyAlignment="1">
      <alignment horizontal="center" vertical="center"/>
    </xf>
    <xf numFmtId="10" fontId="7" fillId="0" borderId="7" xfId="3" applyNumberFormat="1" applyFont="1" applyBorder="1" applyAlignment="1">
      <alignment horizontal="center" vertical="center"/>
    </xf>
    <xf numFmtId="1" fontId="7" fillId="0" borderId="4" xfId="1" applyNumberFormat="1" applyFont="1" applyBorder="1" applyAlignment="1">
      <alignment horizontal="center" vertical="center"/>
    </xf>
    <xf numFmtId="1" fontId="7" fillId="0" borderId="5" xfId="1" applyNumberFormat="1" applyFont="1" applyBorder="1" applyAlignment="1">
      <alignment horizontal="center" vertical="center"/>
    </xf>
    <xf numFmtId="1" fontId="7" fillId="0" borderId="0" xfId="1" applyNumberFormat="1" applyFont="1" applyBorder="1" applyAlignment="1">
      <alignment horizontal="center" vertical="center"/>
    </xf>
    <xf numFmtId="1" fontId="7" fillId="0" borderId="7" xfId="1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8" xfId="0" applyFont="1" applyBorder="1" applyAlignment="1"/>
    <xf numFmtId="0" fontId="0" fillId="0" borderId="3" xfId="0" applyFont="1" applyBorder="1" applyAlignment="1"/>
    <xf numFmtId="0" fontId="0" fillId="0" borderId="6" xfId="0" applyFont="1" applyBorder="1" applyAlignme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Controle Estoque.xlsx]Painel!din_Controle_Estoque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Controle</a:t>
            </a:r>
            <a:r>
              <a:rPr lang="pt-BR" baseline="0"/>
              <a:t> Estoque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_);_(* \(#,##0\);_(* &quot;-&quot;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Painel!$C$2</c:f>
              <c:strCache>
                <c:ptCount val="1"/>
                <c:pt idx="0">
                  <c:v>Soma de Saldo Atual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5E-45B0-ABCC-44076828E7E2}"/>
              </c:ext>
            </c:extLst>
          </c:dPt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Painel!$B$3:$B$10</c:f>
              <c:strCache>
                <c:ptCount val="7"/>
                <c:pt idx="0">
                  <c:v>Redes</c:v>
                </c:pt>
                <c:pt idx="1">
                  <c:v>Periféricos</c:v>
                </c:pt>
                <c:pt idx="2">
                  <c:v>Imagem e Som</c:v>
                </c:pt>
                <c:pt idx="3">
                  <c:v>Hardware</c:v>
                </c:pt>
                <c:pt idx="4">
                  <c:v>Componentes</c:v>
                </c:pt>
                <c:pt idx="5">
                  <c:v>Armazenamento</c:v>
                </c:pt>
                <c:pt idx="6">
                  <c:v>Acessórios</c:v>
                </c:pt>
              </c:strCache>
            </c:strRef>
          </c:cat>
          <c:val>
            <c:numRef>
              <c:f>Painel!$C$3:$C$10</c:f>
              <c:numCache>
                <c:formatCode>_(* #,##0_);_(* \(#,##0\);_(* "-"_);_(@_)</c:formatCode>
                <c:ptCount val="7"/>
                <c:pt idx="0">
                  <c:v>3887</c:v>
                </c:pt>
                <c:pt idx="1">
                  <c:v>1927</c:v>
                </c:pt>
                <c:pt idx="2">
                  <c:v>3250</c:v>
                </c:pt>
                <c:pt idx="3">
                  <c:v>3126</c:v>
                </c:pt>
                <c:pt idx="4">
                  <c:v>2790</c:v>
                </c:pt>
                <c:pt idx="5">
                  <c:v>2256</c:v>
                </c:pt>
                <c:pt idx="6">
                  <c:v>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5E-45B0-ABCC-44076828E7E2}"/>
            </c:ext>
          </c:extLst>
        </c:ser>
        <c:ser>
          <c:idx val="1"/>
          <c:order val="1"/>
          <c:tx>
            <c:strRef>
              <c:f>Painel!$D$2</c:f>
              <c:strCache>
                <c:ptCount val="1"/>
                <c:pt idx="0">
                  <c:v>Soma de Qntd Saídas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Painel!$B$3:$B$10</c:f>
              <c:strCache>
                <c:ptCount val="7"/>
                <c:pt idx="0">
                  <c:v>Redes</c:v>
                </c:pt>
                <c:pt idx="1">
                  <c:v>Periféricos</c:v>
                </c:pt>
                <c:pt idx="2">
                  <c:v>Imagem e Som</c:v>
                </c:pt>
                <c:pt idx="3">
                  <c:v>Hardware</c:v>
                </c:pt>
                <c:pt idx="4">
                  <c:v>Componentes</c:v>
                </c:pt>
                <c:pt idx="5">
                  <c:v>Armazenamento</c:v>
                </c:pt>
                <c:pt idx="6">
                  <c:v>Acessórios</c:v>
                </c:pt>
              </c:strCache>
            </c:strRef>
          </c:cat>
          <c:val>
            <c:numRef>
              <c:f>Painel!$D$3:$D$10</c:f>
              <c:numCache>
                <c:formatCode>_(* #,##0_);_(* \(#,##0\);_(* "-"_);_(@_)</c:formatCode>
                <c:ptCount val="7"/>
                <c:pt idx="0">
                  <c:v>3147</c:v>
                </c:pt>
                <c:pt idx="1">
                  <c:v>2847</c:v>
                </c:pt>
                <c:pt idx="2">
                  <c:v>2691</c:v>
                </c:pt>
                <c:pt idx="3">
                  <c:v>2182</c:v>
                </c:pt>
                <c:pt idx="4">
                  <c:v>2239</c:v>
                </c:pt>
                <c:pt idx="5">
                  <c:v>3098</c:v>
                </c:pt>
                <c:pt idx="6">
                  <c:v>3674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5E-45B0-ABCC-44076828E7E2}"/>
            </c:ext>
          </c:extLst>
        </c:ser>
        <c:ser>
          <c:idx val="2"/>
          <c:order val="2"/>
          <c:tx>
            <c:strRef>
              <c:f>Painel!$E$2</c:f>
              <c:strCache>
                <c:ptCount val="1"/>
                <c:pt idx="0">
                  <c:v>Soma de Qntd Entradas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_(* #,##0_);_(* \(#,##0\);_(* &quot;-&quot;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Painel!$B$3:$B$10</c:f>
              <c:strCache>
                <c:ptCount val="7"/>
                <c:pt idx="0">
                  <c:v>Redes</c:v>
                </c:pt>
                <c:pt idx="1">
                  <c:v>Periféricos</c:v>
                </c:pt>
                <c:pt idx="2">
                  <c:v>Imagem e Som</c:v>
                </c:pt>
                <c:pt idx="3">
                  <c:v>Hardware</c:v>
                </c:pt>
                <c:pt idx="4">
                  <c:v>Componentes</c:v>
                </c:pt>
                <c:pt idx="5">
                  <c:v>Armazenamento</c:v>
                </c:pt>
                <c:pt idx="6">
                  <c:v>Acessórios</c:v>
                </c:pt>
              </c:strCache>
            </c:strRef>
          </c:cat>
          <c:val>
            <c:numRef>
              <c:f>Painel!$E$3:$E$10</c:f>
              <c:numCache>
                <c:formatCode>_(* #,##0_);_(* \(#,##0\);_(* "-"_);_(@_)</c:formatCode>
                <c:ptCount val="7"/>
                <c:pt idx="0">
                  <c:v>7034</c:v>
                </c:pt>
                <c:pt idx="1">
                  <c:v>4774</c:v>
                </c:pt>
                <c:pt idx="2">
                  <c:v>5941</c:v>
                </c:pt>
                <c:pt idx="3">
                  <c:v>5308</c:v>
                </c:pt>
                <c:pt idx="4">
                  <c:v>5029</c:v>
                </c:pt>
                <c:pt idx="5">
                  <c:v>5354</c:v>
                </c:pt>
                <c:pt idx="6">
                  <c:v>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5E-45B0-ABCC-44076828E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4277375"/>
        <c:axId val="994270303"/>
      </c:barChart>
      <c:catAx>
        <c:axId val="99427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270303"/>
        <c:crosses val="autoZero"/>
        <c:auto val="1"/>
        <c:lblAlgn val="ctr"/>
        <c:lblOffset val="100"/>
        <c:noMultiLvlLbl val="0"/>
      </c:catAx>
      <c:valAx>
        <c:axId val="994270303"/>
        <c:scaling>
          <c:orientation val="minMax"/>
        </c:scaling>
        <c:delete val="1"/>
        <c:axPos val="b"/>
        <c:numFmt formatCode="_(* #,##0_);_(* \(#,##0\);_(* &quot;-&quot;_);_(@_)" sourceLinked="1"/>
        <c:majorTickMark val="none"/>
        <c:minorTickMark val="none"/>
        <c:tickLblPos val="nextTo"/>
        <c:crossAx val="99427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Controle Estoque.xlsx]Painel!din_Status_Estoque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Estoque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0" cap="rnd">
            <a:solidFill>
              <a:schemeClr val="tx1">
                <a:alpha val="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Painel!$H$2:$H$3</c:f>
              <c:strCache>
                <c:ptCount val="1"/>
                <c:pt idx="0">
                  <c:v>Contagem de SKU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Painel!$G$4:$G$8</c:f>
              <c:strCache>
                <c:ptCount val="4"/>
                <c:pt idx="0">
                  <c:v>Estoque Negativo</c:v>
                </c:pt>
                <c:pt idx="1">
                  <c:v>Crítico</c:v>
                </c:pt>
                <c:pt idx="2">
                  <c:v>Ok</c:v>
                </c:pt>
                <c:pt idx="3">
                  <c:v>Excesso</c:v>
                </c:pt>
              </c:strCache>
            </c:strRef>
          </c:cat>
          <c:val>
            <c:numRef>
              <c:f>Painel!$H$4:$H$8</c:f>
              <c:numCache>
                <c:formatCode>General</c:formatCode>
                <c:ptCount val="4"/>
                <c:pt idx="0">
                  <c:v>22</c:v>
                </c:pt>
                <c:pt idx="1">
                  <c:v>3</c:v>
                </c:pt>
                <c:pt idx="2">
                  <c:v>20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A-41A5-8197-78DE8E7C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8494719"/>
        <c:axId val="1148495135"/>
      </c:barChart>
      <c:lineChart>
        <c:grouping val="standard"/>
        <c:varyColors val="0"/>
        <c:ser>
          <c:idx val="1"/>
          <c:order val="1"/>
          <c:tx>
            <c:strRef>
              <c:f>Painel!$I$2:$I$3</c:f>
              <c:strCache>
                <c:ptCount val="1"/>
                <c:pt idx="0">
                  <c:v>% de SKU</c:v>
                </c:pt>
              </c:strCache>
            </c:strRef>
          </c:tx>
          <c:spPr>
            <a:ln w="0" cap="rnd">
              <a:solidFill>
                <a:schemeClr val="tx1">
                  <a:alpha val="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Painel!$G$4:$G$8</c:f>
              <c:strCache>
                <c:ptCount val="4"/>
                <c:pt idx="0">
                  <c:v>Estoque Negativo</c:v>
                </c:pt>
                <c:pt idx="1">
                  <c:v>Crítico</c:v>
                </c:pt>
                <c:pt idx="2">
                  <c:v>Ok</c:v>
                </c:pt>
                <c:pt idx="3">
                  <c:v>Excesso</c:v>
                </c:pt>
              </c:strCache>
            </c:strRef>
          </c:cat>
          <c:val>
            <c:numRef>
              <c:f>Painel!$I$4:$I$8</c:f>
              <c:numCache>
                <c:formatCode>0.00%</c:formatCode>
                <c:ptCount val="4"/>
                <c:pt idx="0">
                  <c:v>0.18333333333333332</c:v>
                </c:pt>
                <c:pt idx="1">
                  <c:v>2.5000000000000001E-2</c:v>
                </c:pt>
                <c:pt idx="2">
                  <c:v>0.16666666666666666</c:v>
                </c:pt>
                <c:pt idx="3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A-41A5-8197-78DE8E7C4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2220463"/>
        <c:axId val="1342279951"/>
      </c:lineChart>
      <c:catAx>
        <c:axId val="1148494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8495135"/>
        <c:crosses val="autoZero"/>
        <c:auto val="1"/>
        <c:lblAlgn val="ctr"/>
        <c:lblOffset val="100"/>
        <c:noMultiLvlLbl val="0"/>
      </c:catAx>
      <c:valAx>
        <c:axId val="11484951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48494719"/>
        <c:crosses val="autoZero"/>
        <c:crossBetween val="between"/>
      </c:valAx>
      <c:valAx>
        <c:axId val="1342279951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1342220463"/>
        <c:crosses val="max"/>
        <c:crossBetween val="between"/>
      </c:valAx>
      <c:catAx>
        <c:axId val="134222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22799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- Controle Estoque.xlsx]Painel!din_Preco_Medio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Preço</a:t>
            </a:r>
            <a:r>
              <a:rPr lang="pt-BR" baseline="0"/>
              <a:t> Médio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_(* #,##0.00_);_(* \(#,##0.00\);_(* &quot;-&quot;??_);_(@_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(* #,##0.00_);_(* \(#,##0.00\);_(* &quot;-&quot;??_);_(@_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/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Painel!$K$3:$K$10</c:f>
              <c:strCache>
                <c:ptCount val="7"/>
                <c:pt idx="0">
                  <c:v>Acessórios</c:v>
                </c:pt>
                <c:pt idx="1">
                  <c:v>Armazenamento</c:v>
                </c:pt>
                <c:pt idx="2">
                  <c:v>Componentes</c:v>
                </c:pt>
                <c:pt idx="3">
                  <c:v>Hardware</c:v>
                </c:pt>
                <c:pt idx="4">
                  <c:v>Imagem e Som</c:v>
                </c:pt>
                <c:pt idx="5">
                  <c:v>Periféricos</c:v>
                </c:pt>
                <c:pt idx="6">
                  <c:v>Redes</c:v>
                </c:pt>
              </c:strCache>
            </c:strRef>
          </c:cat>
          <c:val>
            <c:numRef>
              <c:f>Painel!$L$3:$L$10</c:f>
              <c:numCache>
                <c:formatCode>_("R$"* #,##0.00_);_("R$"* \(#,##0.00\);_("R$"* "-"??_);_(@_)</c:formatCode>
                <c:ptCount val="7"/>
                <c:pt idx="0">
                  <c:v>561.26200000000006</c:v>
                </c:pt>
                <c:pt idx="1">
                  <c:v>457.11842105263167</c:v>
                </c:pt>
                <c:pt idx="2">
                  <c:v>476.05000000000013</c:v>
                </c:pt>
                <c:pt idx="3">
                  <c:v>573.38999999999987</c:v>
                </c:pt>
                <c:pt idx="4">
                  <c:v>519.15117647058821</c:v>
                </c:pt>
                <c:pt idx="5">
                  <c:v>563.89</c:v>
                </c:pt>
                <c:pt idx="6">
                  <c:v>586.82500000000005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9-4640-8A79-C661C5007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8476831"/>
        <c:axId val="1148490559"/>
      </c:barChart>
      <c:catAx>
        <c:axId val="114847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8490559"/>
        <c:crosses val="autoZero"/>
        <c:auto val="1"/>
        <c:lblAlgn val="ctr"/>
        <c:lblOffset val="100"/>
        <c:noMultiLvlLbl val="0"/>
      </c:catAx>
      <c:valAx>
        <c:axId val="11484905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4847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48CA6DC-37F8-4238-8C38-BCF8910E2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13</xdr:row>
      <xdr:rowOff>0</xdr:rowOff>
    </xdr:from>
    <xdr:to>
      <xdr:col>19</xdr:col>
      <xdr:colOff>304800</xdr:colOff>
      <xdr:row>27</xdr:row>
      <xdr:rowOff>33000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F0A5EDA-3834-4EFD-A953-D94E44E07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19</xdr:col>
      <xdr:colOff>304800</xdr:colOff>
      <xdr:row>42</xdr:row>
      <xdr:rowOff>33000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B149B33-9D6D-493C-B4C1-1188F70F8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3</xdr:row>
      <xdr:rowOff>0</xdr:rowOff>
    </xdr:from>
    <xdr:to>
      <xdr:col>11</xdr:col>
      <xdr:colOff>163200</xdr:colOff>
      <xdr:row>7</xdr:row>
      <xdr:rowOff>174000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Categoria">
              <a:extLst>
                <a:ext uri="{FF2B5EF4-FFF2-40B4-BE49-F238E27FC236}">
                  <a16:creationId xmlns:a16="http://schemas.microsoft.com/office/drawing/2014/main" id="{6447E2B3-3AD5-4587-9E81-B2F19E7B0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8800" y="714375"/>
              <a:ext cx="504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0</xdr:colOff>
      <xdr:row>3</xdr:row>
      <xdr:rowOff>0</xdr:rowOff>
    </xdr:from>
    <xdr:to>
      <xdr:col>17</xdr:col>
      <xdr:colOff>261600</xdr:colOff>
      <xdr:row>7</xdr:row>
      <xdr:rowOff>174000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Fl Estoque">
              <a:extLst>
                <a:ext uri="{FF2B5EF4-FFF2-40B4-BE49-F238E27FC236}">
                  <a16:creationId xmlns:a16="http://schemas.microsoft.com/office/drawing/2014/main" id="{D1EFF7B5-4E0F-4E8E-892A-231F0840D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l Estoqu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4800" y="714375"/>
              <a:ext cx="270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2400</xdr:colOff>
      <xdr:row>12</xdr:row>
      <xdr:rowOff>30975</xdr:rowOff>
    </xdr:to>
    <xdr:pic>
      <xdr:nvPicPr>
        <xdr:cNvPr id="26" name="Gráfico 25" descr="Dinheiro com preenchimento sólido">
          <a:extLst>
            <a:ext uri="{FF2B5EF4-FFF2-40B4-BE49-F238E27FC236}">
              <a16:creationId xmlns:a16="http://schemas.microsoft.com/office/drawing/2014/main" id="{B59469A2-9E5C-44DE-AA6F-3AB7C9F4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19200" y="1866900"/>
          <a:ext cx="612000" cy="612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15</xdr:col>
      <xdr:colOff>9525</xdr:colOff>
      <xdr:row>12</xdr:row>
      <xdr:rowOff>38100</xdr:rowOff>
    </xdr:to>
    <xdr:pic>
      <xdr:nvPicPr>
        <xdr:cNvPr id="29" name="Gráfico 28" descr="Gráfico de tendência descendente com preenchimento sólido">
          <a:extLst>
            <a:ext uri="{FF2B5EF4-FFF2-40B4-BE49-F238E27FC236}">
              <a16:creationId xmlns:a16="http://schemas.microsoft.com/office/drawing/2014/main" id="{2B47889E-2A30-4DBA-985E-7F072F2C1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315200" y="186690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12</xdr:row>
      <xdr:rowOff>28575</xdr:rowOff>
    </xdr:to>
    <xdr:pic>
      <xdr:nvPicPr>
        <xdr:cNvPr id="34" name="Gráfico 33" descr="Aviso com preenchimento sólido">
          <a:extLst>
            <a:ext uri="{FF2B5EF4-FFF2-40B4-BE49-F238E27FC236}">
              <a16:creationId xmlns:a16="http://schemas.microsoft.com/office/drawing/2014/main" id="{76C3FAA8-B87F-4437-91F7-7B2A6C55A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267200" y="1866900"/>
          <a:ext cx="609600" cy="60960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z Henrique Viras Nobre" refreshedDate="46098.011859143517" createdVersion="7" refreshedVersion="7" minRefreshableVersion="3" recordCount="120" xr:uid="{1D3E08F3-F0F9-4624-923C-5651E9DBF76F}">
  <cacheSource type="worksheet">
    <worksheetSource name="tb_Resumo"/>
  </cacheSource>
  <cacheFields count="8">
    <cacheField name="SKU" numFmtId="0">
      <sharedItems/>
    </cacheField>
    <cacheField name="Categoria" numFmtId="0">
      <sharedItems count="7">
        <s v="Periféricos"/>
        <s v="Acessórios"/>
        <s v="Armazenamento"/>
        <s v="Imagem e Som"/>
        <s v="Componentes"/>
        <s v="Redes"/>
        <s v="Hardware"/>
      </sharedItems>
    </cacheField>
    <cacheField name="Preço" numFmtId="44">
      <sharedItems containsSemiMixedTypes="0" containsString="0" containsNumber="1" minValue="89.57" maxValue="991.03"/>
    </cacheField>
    <cacheField name="Qntd Entradas" numFmtId="164">
      <sharedItems containsSemiMixedTypes="0" containsString="0" containsNumber="1" containsInteger="1" minValue="0" maxValue="921"/>
    </cacheField>
    <cacheField name="Qntd Saídas" numFmtId="164">
      <sharedItems containsSemiMixedTypes="0" containsString="0" containsNumber="1" containsInteger="1" minValue="0" maxValue="462"/>
    </cacheField>
    <cacheField name="Saldo Atual" numFmtId="164">
      <sharedItems containsSemiMixedTypes="0" containsString="0" containsNumber="1" containsInteger="1" minValue="-277" maxValue="781"/>
    </cacheField>
    <cacheField name="Valor em Estoque" numFmtId="44">
      <sharedItems containsSemiMixedTypes="0" containsString="0" containsNumber="1" minValue="-138344.88" maxValue="436718.10000000003"/>
    </cacheField>
    <cacheField name="Fl Estoque" numFmtId="164">
      <sharedItems count="4">
        <s v="Estoque Negativo"/>
        <s v="Crítico"/>
        <s v="Ok"/>
        <s v="Excesso"/>
      </sharedItems>
    </cacheField>
  </cacheFields>
  <extLst>
    <ext xmlns:x14="http://schemas.microsoft.com/office/spreadsheetml/2009/9/main" uri="{725AE2AE-9491-48be-B2B4-4EB974FC3084}">
      <x14:pivotCacheDefinition pivotCacheId="294301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8468C"/>
    <x v="0"/>
    <n v="499.44"/>
    <n v="0"/>
    <n v="277"/>
    <n v="-277"/>
    <n v="-138344.88"/>
    <x v="0"/>
  </r>
  <r>
    <s v="7568D"/>
    <x v="1"/>
    <n v="252.85"/>
    <n v="11"/>
    <n v="272"/>
    <n v="-261"/>
    <n v="-65993.849999999991"/>
    <x v="0"/>
  </r>
  <r>
    <s v="2443D"/>
    <x v="1"/>
    <n v="546.58000000000004"/>
    <n v="237"/>
    <n v="462"/>
    <n v="-225"/>
    <n v="-122980.50000000001"/>
    <x v="0"/>
  </r>
  <r>
    <s v="1751D"/>
    <x v="2"/>
    <n v="306.18"/>
    <n v="8"/>
    <n v="215"/>
    <n v="-207"/>
    <n v="-63379.26"/>
    <x v="0"/>
  </r>
  <r>
    <s v="1885B"/>
    <x v="3"/>
    <n v="240.69"/>
    <n v="163"/>
    <n v="337"/>
    <n v="-174"/>
    <n v="-41880.06"/>
    <x v="0"/>
  </r>
  <r>
    <s v="5021C"/>
    <x v="4"/>
    <n v="658.98"/>
    <n v="45"/>
    <n v="205"/>
    <n v="-160"/>
    <n v="-105436.8"/>
    <x v="0"/>
  </r>
  <r>
    <s v="2286C"/>
    <x v="0"/>
    <n v="580.80999999999995"/>
    <n v="73"/>
    <n v="180"/>
    <n v="-107"/>
    <n v="-62146.669999999991"/>
    <x v="0"/>
  </r>
  <r>
    <s v="9591C"/>
    <x v="2"/>
    <n v="383.87"/>
    <n v="174"/>
    <n v="281"/>
    <n v="-107"/>
    <n v="-41074.090000000004"/>
    <x v="0"/>
  </r>
  <r>
    <s v="2525B"/>
    <x v="2"/>
    <n v="124.79"/>
    <n v="0"/>
    <n v="99"/>
    <n v="-99"/>
    <n v="-12354.210000000001"/>
    <x v="0"/>
  </r>
  <r>
    <s v="4159D"/>
    <x v="1"/>
    <n v="334.38"/>
    <n v="222"/>
    <n v="297"/>
    <n v="-75"/>
    <n v="-25078.5"/>
    <x v="0"/>
  </r>
  <r>
    <s v="2485D"/>
    <x v="1"/>
    <n v="597.80999999999995"/>
    <n v="168"/>
    <n v="239"/>
    <n v="-71"/>
    <n v="-42444.509999999995"/>
    <x v="0"/>
  </r>
  <r>
    <s v="6300B"/>
    <x v="1"/>
    <n v="741.36"/>
    <n v="131"/>
    <n v="197"/>
    <n v="-66"/>
    <n v="-48929.760000000002"/>
    <x v="0"/>
  </r>
  <r>
    <s v="6867A"/>
    <x v="2"/>
    <n v="503.07"/>
    <n v="209"/>
    <n v="273"/>
    <n v="-64"/>
    <n v="-32196.48"/>
    <x v="0"/>
  </r>
  <r>
    <s v="4528D"/>
    <x v="2"/>
    <n v="365.28"/>
    <n v="80"/>
    <n v="139"/>
    <n v="-59"/>
    <n v="-21551.519999999997"/>
    <x v="0"/>
  </r>
  <r>
    <s v="3318C"/>
    <x v="1"/>
    <n v="912.84"/>
    <n v="0"/>
    <n v="51"/>
    <n v="-51"/>
    <n v="-46554.840000000004"/>
    <x v="0"/>
  </r>
  <r>
    <s v="2463C"/>
    <x v="3"/>
    <n v="379.85"/>
    <n v="129"/>
    <n v="176"/>
    <n v="-47"/>
    <n v="-17852.95"/>
    <x v="0"/>
  </r>
  <r>
    <s v="2558A"/>
    <x v="1"/>
    <n v="280.29000000000002"/>
    <n v="126"/>
    <n v="172"/>
    <n v="-46"/>
    <n v="-12893.34"/>
    <x v="0"/>
  </r>
  <r>
    <s v="1797D"/>
    <x v="5"/>
    <n v="966.44"/>
    <n v="222"/>
    <n v="261"/>
    <n v="-39"/>
    <n v="-37691.160000000003"/>
    <x v="0"/>
  </r>
  <r>
    <s v="6656A"/>
    <x v="6"/>
    <n v="339.98"/>
    <n v="116"/>
    <n v="154"/>
    <n v="-38"/>
    <n v="-12919.240000000002"/>
    <x v="0"/>
  </r>
  <r>
    <s v="6004A"/>
    <x v="6"/>
    <n v="950.93"/>
    <n v="190"/>
    <n v="213"/>
    <n v="-23"/>
    <n v="-21871.39"/>
    <x v="0"/>
  </r>
  <r>
    <s v="6321A"/>
    <x v="5"/>
    <n v="715.01"/>
    <n v="207"/>
    <n v="217"/>
    <n v="-10"/>
    <n v="-7150.1"/>
    <x v="0"/>
  </r>
  <r>
    <s v="1120C"/>
    <x v="3"/>
    <n v="270.27"/>
    <n v="67"/>
    <n v="74"/>
    <n v="-7"/>
    <n v="-1891.8899999999999"/>
    <x v="0"/>
  </r>
  <r>
    <s v="3975C"/>
    <x v="4"/>
    <n v="976.36"/>
    <n v="233"/>
    <n v="227"/>
    <n v="6"/>
    <n v="5858.16"/>
    <x v="1"/>
  </r>
  <r>
    <s v="6331D"/>
    <x v="0"/>
    <n v="775.44"/>
    <n v="238"/>
    <n v="221"/>
    <n v="17"/>
    <n v="13182.480000000001"/>
    <x v="1"/>
  </r>
  <r>
    <s v="5337A"/>
    <x v="2"/>
    <n v="723.8"/>
    <n v="294"/>
    <n v="276"/>
    <n v="18"/>
    <n v="13028.4"/>
    <x v="1"/>
  </r>
  <r>
    <s v="1534A"/>
    <x v="2"/>
    <n v="285.57"/>
    <n v="304"/>
    <n v="283"/>
    <n v="21"/>
    <n v="5996.97"/>
    <x v="2"/>
  </r>
  <r>
    <s v="4592D"/>
    <x v="0"/>
    <n v="711.1"/>
    <n v="312"/>
    <n v="289"/>
    <n v="23"/>
    <n v="16355.300000000001"/>
    <x v="2"/>
  </r>
  <r>
    <s v="6100C"/>
    <x v="4"/>
    <n v="877.23"/>
    <n v="258"/>
    <n v="231"/>
    <n v="27"/>
    <n v="23685.21"/>
    <x v="2"/>
  </r>
  <r>
    <s v="8679B"/>
    <x v="6"/>
    <n v="756.15"/>
    <n v="277"/>
    <n v="241"/>
    <n v="36"/>
    <n v="27221.399999999998"/>
    <x v="2"/>
  </r>
  <r>
    <s v="1256C"/>
    <x v="5"/>
    <n v="491.38"/>
    <n v="267"/>
    <n v="224"/>
    <n v="43"/>
    <n v="21129.34"/>
    <x v="2"/>
  </r>
  <r>
    <s v="3608A"/>
    <x v="6"/>
    <n v="381.51"/>
    <n v="104"/>
    <n v="57"/>
    <n v="47"/>
    <n v="17930.97"/>
    <x v="2"/>
  </r>
  <r>
    <s v="5470C"/>
    <x v="0"/>
    <n v="107.76"/>
    <n v="264"/>
    <n v="217"/>
    <n v="47"/>
    <n v="5064.72"/>
    <x v="2"/>
  </r>
  <r>
    <s v="7919C"/>
    <x v="2"/>
    <n v="347.43"/>
    <n v="218"/>
    <n v="165"/>
    <n v="53"/>
    <n v="18413.79"/>
    <x v="2"/>
  </r>
  <r>
    <s v="2580D"/>
    <x v="2"/>
    <n v="577.42999999999995"/>
    <n v="298"/>
    <n v="244"/>
    <n v="54"/>
    <n v="31181.219999999998"/>
    <x v="2"/>
  </r>
  <r>
    <s v="3898B"/>
    <x v="1"/>
    <n v="120.79"/>
    <n v="252"/>
    <n v="194"/>
    <n v="58"/>
    <n v="7005.8200000000006"/>
    <x v="2"/>
  </r>
  <r>
    <s v="8593C"/>
    <x v="1"/>
    <n v="653.64"/>
    <n v="241"/>
    <n v="183"/>
    <n v="58"/>
    <n v="37911.120000000003"/>
    <x v="2"/>
  </r>
  <r>
    <s v="7435B"/>
    <x v="4"/>
    <n v="820.78"/>
    <n v="406"/>
    <n v="346"/>
    <n v="60"/>
    <n v="49246.799999999996"/>
    <x v="2"/>
  </r>
  <r>
    <s v="2651C"/>
    <x v="0"/>
    <n v="811.47"/>
    <n v="257"/>
    <n v="196"/>
    <n v="61"/>
    <n v="49499.67"/>
    <x v="2"/>
  </r>
  <r>
    <s v="3984B"/>
    <x v="0"/>
    <n v="188.17"/>
    <n v="169"/>
    <n v="107"/>
    <n v="62"/>
    <n v="11666.539999999999"/>
    <x v="2"/>
  </r>
  <r>
    <s v="8756C"/>
    <x v="3"/>
    <n v="418.89"/>
    <n v="196"/>
    <n v="132"/>
    <n v="64"/>
    <n v="26808.959999999999"/>
    <x v="2"/>
  </r>
  <r>
    <s v="9559A"/>
    <x v="2"/>
    <n v="167.32"/>
    <n v="211"/>
    <n v="135"/>
    <n v="76"/>
    <n v="12716.32"/>
    <x v="2"/>
  </r>
  <r>
    <s v="3127C"/>
    <x v="0"/>
    <n v="938.68"/>
    <n v="171"/>
    <n v="88"/>
    <n v="83"/>
    <n v="77910.44"/>
    <x v="2"/>
  </r>
  <r>
    <s v="6580A"/>
    <x v="6"/>
    <n v="927.57"/>
    <n v="203"/>
    <n v="118"/>
    <n v="85"/>
    <n v="78843.45"/>
    <x v="2"/>
  </r>
  <r>
    <s v="9491C"/>
    <x v="5"/>
    <n v="101.03"/>
    <n v="266"/>
    <n v="180"/>
    <n v="86"/>
    <n v="8688.58"/>
    <x v="2"/>
  </r>
  <r>
    <s v="3633A"/>
    <x v="0"/>
    <n v="523.33000000000004"/>
    <n v="291"/>
    <n v="198"/>
    <n v="93"/>
    <n v="48669.69"/>
    <x v="2"/>
  </r>
  <r>
    <s v="9485C"/>
    <x v="3"/>
    <n v="395.54"/>
    <n v="262"/>
    <n v="161"/>
    <n v="101"/>
    <n v="39949.54"/>
    <x v="3"/>
  </r>
  <r>
    <s v="5063B"/>
    <x v="6"/>
    <n v="188.01"/>
    <n v="310"/>
    <n v="207"/>
    <n v="103"/>
    <n v="19365.03"/>
    <x v="3"/>
  </r>
  <r>
    <s v="4439B"/>
    <x v="5"/>
    <n v="584.16999999999996"/>
    <n v="354"/>
    <n v="238"/>
    <n v="116"/>
    <n v="67763.72"/>
    <x v="3"/>
  </r>
  <r>
    <s v="3760A"/>
    <x v="2"/>
    <n v="967.84"/>
    <n v="117"/>
    <n v="0"/>
    <n v="117"/>
    <n v="113237.28"/>
    <x v="3"/>
  </r>
  <r>
    <s v="3880C"/>
    <x v="5"/>
    <n v="830.71"/>
    <n v="193"/>
    <n v="74"/>
    <n v="119"/>
    <n v="98854.49"/>
    <x v="3"/>
  </r>
  <r>
    <s v="5118D"/>
    <x v="0"/>
    <n v="950.74"/>
    <n v="187"/>
    <n v="64"/>
    <n v="123"/>
    <n v="116941.02"/>
    <x v="3"/>
  </r>
  <r>
    <s v="1679C"/>
    <x v="4"/>
    <n v="121.42"/>
    <n v="327"/>
    <n v="202"/>
    <n v="125"/>
    <n v="15177.5"/>
    <x v="3"/>
  </r>
  <r>
    <s v="9161D"/>
    <x v="3"/>
    <n v="588.87"/>
    <n v="321"/>
    <n v="193"/>
    <n v="128"/>
    <n v="75375.360000000001"/>
    <x v="3"/>
  </r>
  <r>
    <s v="8214A"/>
    <x v="3"/>
    <n v="542.75"/>
    <n v="238"/>
    <n v="105"/>
    <n v="133"/>
    <n v="72185.75"/>
    <x v="3"/>
  </r>
  <r>
    <s v="7085A"/>
    <x v="1"/>
    <n v="174.26"/>
    <n v="297"/>
    <n v="160"/>
    <n v="137"/>
    <n v="23873.62"/>
    <x v="3"/>
  </r>
  <r>
    <s v="1465D"/>
    <x v="2"/>
    <n v="383.27"/>
    <n v="413"/>
    <n v="274"/>
    <n v="139"/>
    <n v="53274.53"/>
    <x v="3"/>
  </r>
  <r>
    <s v="2192C"/>
    <x v="1"/>
    <n v="97.2"/>
    <n v="380"/>
    <n v="235"/>
    <n v="145"/>
    <n v="14094"/>
    <x v="3"/>
  </r>
  <r>
    <s v="4269B"/>
    <x v="1"/>
    <n v="536.77"/>
    <n v="242"/>
    <n v="97"/>
    <n v="145"/>
    <n v="77831.649999999994"/>
    <x v="3"/>
  </r>
  <r>
    <s v="2083A"/>
    <x v="1"/>
    <n v="837.9"/>
    <n v="336"/>
    <n v="188"/>
    <n v="148"/>
    <n v="124009.2"/>
    <x v="3"/>
  </r>
  <r>
    <s v="6932D"/>
    <x v="3"/>
    <n v="682.72"/>
    <n v="244"/>
    <n v="94"/>
    <n v="150"/>
    <n v="102408"/>
    <x v="3"/>
  </r>
  <r>
    <s v="9646A"/>
    <x v="6"/>
    <n v="349.59"/>
    <n v="335"/>
    <n v="179"/>
    <n v="156"/>
    <n v="54536.039999999994"/>
    <x v="3"/>
  </r>
  <r>
    <s v="3265C"/>
    <x v="4"/>
    <n v="257.3"/>
    <n v="284"/>
    <n v="127"/>
    <n v="157"/>
    <n v="40396.1"/>
    <x v="3"/>
  </r>
  <r>
    <s v="6492A"/>
    <x v="5"/>
    <n v="806.69"/>
    <n v="355"/>
    <n v="196"/>
    <n v="159"/>
    <n v="128263.71"/>
    <x v="3"/>
  </r>
  <r>
    <s v="8023A"/>
    <x v="3"/>
    <n v="914.49"/>
    <n v="550"/>
    <n v="391"/>
    <n v="159"/>
    <n v="145403.91"/>
    <x v="3"/>
  </r>
  <r>
    <s v="8866B"/>
    <x v="5"/>
    <n v="576.48"/>
    <n v="322"/>
    <n v="158"/>
    <n v="164"/>
    <n v="94542.720000000001"/>
    <x v="3"/>
  </r>
  <r>
    <s v="5968B"/>
    <x v="5"/>
    <n v="393.32"/>
    <n v="335"/>
    <n v="164"/>
    <n v="171"/>
    <n v="67257.72"/>
    <x v="3"/>
  </r>
  <r>
    <s v="5262B"/>
    <x v="1"/>
    <n v="898.39"/>
    <n v="180"/>
    <n v="3"/>
    <n v="177"/>
    <n v="159015.03"/>
    <x v="3"/>
  </r>
  <r>
    <s v="9853A"/>
    <x v="4"/>
    <n v="250.84"/>
    <n v="362"/>
    <n v="182"/>
    <n v="180"/>
    <n v="45151.199999999997"/>
    <x v="3"/>
  </r>
  <r>
    <s v="4177B"/>
    <x v="0"/>
    <n v="787.03"/>
    <n v="356"/>
    <n v="169"/>
    <n v="187"/>
    <n v="147174.60999999999"/>
    <x v="3"/>
  </r>
  <r>
    <s v="4259C"/>
    <x v="0"/>
    <n v="333.64"/>
    <n v="337"/>
    <n v="150"/>
    <n v="187"/>
    <n v="62390.68"/>
    <x v="3"/>
  </r>
  <r>
    <s v="9068A"/>
    <x v="6"/>
    <n v="833.87"/>
    <n v="424"/>
    <n v="232"/>
    <n v="192"/>
    <n v="160103.04000000001"/>
    <x v="3"/>
  </r>
  <r>
    <s v="4025A"/>
    <x v="3"/>
    <n v="447.66"/>
    <n v="353"/>
    <n v="159"/>
    <n v="194"/>
    <n v="86846.040000000008"/>
    <x v="3"/>
  </r>
  <r>
    <s v="8322C"/>
    <x v="1"/>
    <n v="970.1"/>
    <n v="376"/>
    <n v="182"/>
    <n v="194"/>
    <n v="188199.4"/>
    <x v="3"/>
  </r>
  <r>
    <s v="3891C"/>
    <x v="1"/>
    <n v="991.03"/>
    <n v="348"/>
    <n v="153"/>
    <n v="195"/>
    <n v="193250.85"/>
    <x v="3"/>
  </r>
  <r>
    <s v="9530B"/>
    <x v="3"/>
    <n v="539.37"/>
    <n v="407"/>
    <n v="212"/>
    <n v="195"/>
    <n v="105177.15"/>
    <x v="3"/>
  </r>
  <r>
    <s v="1675A"/>
    <x v="2"/>
    <n v="89.57"/>
    <n v="404"/>
    <n v="208"/>
    <n v="196"/>
    <n v="17555.719999999998"/>
    <x v="3"/>
  </r>
  <r>
    <s v="5712D"/>
    <x v="1"/>
    <n v="389.93"/>
    <n v="238"/>
    <n v="29"/>
    <n v="209"/>
    <n v="81495.37"/>
    <x v="3"/>
  </r>
  <r>
    <s v="8345D"/>
    <x v="3"/>
    <n v="931.11"/>
    <n v="323"/>
    <n v="104"/>
    <n v="219"/>
    <n v="203913.09"/>
    <x v="3"/>
  </r>
  <r>
    <s v="5437A"/>
    <x v="6"/>
    <n v="506.5"/>
    <n v="291"/>
    <n v="70"/>
    <n v="221"/>
    <n v="111936.5"/>
    <x v="3"/>
  </r>
  <r>
    <s v="5320D"/>
    <x v="2"/>
    <n v="549.75"/>
    <n v="223"/>
    <n v="0"/>
    <n v="223"/>
    <n v="122594.25"/>
    <x v="3"/>
  </r>
  <r>
    <s v="5564B"/>
    <x v="2"/>
    <n v="919.26"/>
    <n v="324"/>
    <n v="95"/>
    <n v="229"/>
    <n v="210510.54"/>
    <x v="3"/>
  </r>
  <r>
    <s v="5766B"/>
    <x v="4"/>
    <n v="793.28"/>
    <n v="418"/>
    <n v="186"/>
    <n v="232"/>
    <n v="184040.95999999999"/>
    <x v="3"/>
  </r>
  <r>
    <s v="3059A"/>
    <x v="0"/>
    <n v="670.72"/>
    <n v="552"/>
    <n v="316"/>
    <n v="236"/>
    <n v="158289.92000000001"/>
    <x v="3"/>
  </r>
  <r>
    <s v="3321A"/>
    <x v="2"/>
    <n v="143.22"/>
    <n v="436"/>
    <n v="197"/>
    <n v="239"/>
    <n v="34229.58"/>
    <x v="3"/>
  </r>
  <r>
    <s v="4877A"/>
    <x v="5"/>
    <n v="742.3"/>
    <n v="392"/>
    <n v="152"/>
    <n v="240"/>
    <n v="178152"/>
    <x v="3"/>
  </r>
  <r>
    <s v="5334B"/>
    <x v="6"/>
    <n v="863.63"/>
    <n v="394"/>
    <n v="138"/>
    <n v="256"/>
    <n v="221089.28"/>
    <x v="3"/>
  </r>
  <r>
    <s v="8445C"/>
    <x v="1"/>
    <n v="818.42"/>
    <n v="410"/>
    <n v="154"/>
    <n v="256"/>
    <n v="209515.51999999999"/>
    <x v="3"/>
  </r>
  <r>
    <s v="5827A"/>
    <x v="5"/>
    <n v="652.16999999999996"/>
    <n v="347"/>
    <n v="89"/>
    <n v="258"/>
    <n v="168259.86"/>
    <x v="3"/>
  </r>
  <r>
    <s v="7824D"/>
    <x v="4"/>
    <n v="238.68"/>
    <n v="317"/>
    <n v="55"/>
    <n v="262"/>
    <n v="62534.16"/>
    <x v="3"/>
  </r>
  <r>
    <s v="9019C"/>
    <x v="4"/>
    <n v="705.93"/>
    <n v="402"/>
    <n v="137"/>
    <n v="265"/>
    <n v="187071.44999999998"/>
    <x v="3"/>
  </r>
  <r>
    <s v="2085A"/>
    <x v="3"/>
    <n v="802.36"/>
    <n v="416"/>
    <n v="138"/>
    <n v="278"/>
    <n v="223056.08000000002"/>
    <x v="3"/>
  </r>
  <r>
    <s v="7580B"/>
    <x v="4"/>
    <n v="143.75"/>
    <n v="297"/>
    <n v="17"/>
    <n v="280"/>
    <n v="40250"/>
    <x v="3"/>
  </r>
  <r>
    <s v="4836D"/>
    <x v="0"/>
    <n v="405.92"/>
    <n v="413"/>
    <n v="132"/>
    <n v="281"/>
    <n v="114063.52"/>
    <x v="3"/>
  </r>
  <r>
    <s v="7774B"/>
    <x v="6"/>
    <n v="401.23"/>
    <n v="303"/>
    <n v="13"/>
    <n v="290"/>
    <n v="116356.70000000001"/>
    <x v="3"/>
  </r>
  <r>
    <s v="6957A"/>
    <x v="5"/>
    <n v="551.52"/>
    <n v="313"/>
    <n v="23"/>
    <n v="290"/>
    <n v="159940.79999999999"/>
    <x v="3"/>
  </r>
  <r>
    <s v="1698D"/>
    <x v="0"/>
    <n v="302.33999999999997"/>
    <n v="439"/>
    <n v="147"/>
    <n v="292"/>
    <n v="88283.28"/>
    <x v="3"/>
  </r>
  <r>
    <s v="5959C"/>
    <x v="1"/>
    <n v="560.16"/>
    <n v="495"/>
    <n v="201"/>
    <n v="294"/>
    <n v="164687.03999999998"/>
    <x v="3"/>
  </r>
  <r>
    <s v="8046A"/>
    <x v="3"/>
    <n v="200.74"/>
    <n v="428"/>
    <n v="133"/>
    <n v="295"/>
    <n v="59218.3"/>
    <x v="3"/>
  </r>
  <r>
    <s v="1389D"/>
    <x v="5"/>
    <n v="823.71"/>
    <n v="404"/>
    <n v="108"/>
    <n v="296"/>
    <n v="243818.16"/>
    <x v="3"/>
  </r>
  <r>
    <s v="4002D"/>
    <x v="2"/>
    <n v="477.8"/>
    <n v="388"/>
    <n v="81"/>
    <n v="307"/>
    <n v="146684.6"/>
    <x v="3"/>
  </r>
  <r>
    <s v="2362D"/>
    <x v="5"/>
    <n v="306.2"/>
    <n v="447"/>
    <n v="131"/>
    <n v="316"/>
    <n v="96759.2"/>
    <x v="3"/>
  </r>
  <r>
    <s v="9527D"/>
    <x v="6"/>
    <n v="536.84"/>
    <n v="376"/>
    <n v="57"/>
    <n v="319"/>
    <n v="171251.96000000002"/>
    <x v="3"/>
  </r>
  <r>
    <s v="8828D"/>
    <x v="6"/>
    <n v="482.7"/>
    <n v="657"/>
    <n v="338"/>
    <n v="319"/>
    <n v="153981.29999999999"/>
    <x v="3"/>
  </r>
  <r>
    <s v="4154D"/>
    <x v="5"/>
    <n v="363.9"/>
    <n v="523"/>
    <n v="179"/>
    <n v="344"/>
    <n v="125181.59999999999"/>
    <x v="3"/>
  </r>
  <r>
    <s v="9002A"/>
    <x v="5"/>
    <n v="977.6"/>
    <n v="594"/>
    <n v="246"/>
    <n v="348"/>
    <n v="340204.79999999999"/>
    <x v="3"/>
  </r>
  <r>
    <s v="9150D"/>
    <x v="6"/>
    <n v="479.4"/>
    <n v="414"/>
    <n v="66"/>
    <n v="348"/>
    <n v="166831.19999999998"/>
    <x v="3"/>
  </r>
  <r>
    <s v="3443C"/>
    <x v="6"/>
    <n v="216.51"/>
    <n v="405"/>
    <n v="45"/>
    <n v="360"/>
    <n v="77943.599999999991"/>
    <x v="3"/>
  </r>
  <r>
    <s v="1466B"/>
    <x v="3"/>
    <n v="499.23"/>
    <n v="475"/>
    <n v="112"/>
    <n v="363"/>
    <n v="181220.49000000002"/>
    <x v="3"/>
  </r>
  <r>
    <s v="9079D"/>
    <x v="4"/>
    <n v="92.41"/>
    <n v="448"/>
    <n v="71"/>
    <n v="377"/>
    <n v="34838.57"/>
    <x v="3"/>
  </r>
  <r>
    <s v="7928A"/>
    <x v="4"/>
    <n v="223.56"/>
    <n v="577"/>
    <n v="189"/>
    <n v="388"/>
    <n v="86741.28"/>
    <x v="3"/>
  </r>
  <r>
    <s v="1220D"/>
    <x v="3"/>
    <n v="676.7"/>
    <n v="570"/>
    <n v="152"/>
    <n v="418"/>
    <n v="282860.60000000003"/>
    <x v="3"/>
  </r>
  <r>
    <s v="5264C"/>
    <x v="5"/>
    <n v="469.5"/>
    <n v="572"/>
    <n v="142"/>
    <n v="430"/>
    <n v="201885"/>
    <x v="3"/>
  </r>
  <r>
    <s v="2168A"/>
    <x v="6"/>
    <n v="959.82"/>
    <n v="509"/>
    <n v="54"/>
    <n v="455"/>
    <n v="436718.10000000003"/>
    <x v="3"/>
  </r>
  <r>
    <s v="3657A"/>
    <x v="1"/>
    <n v="510.54"/>
    <n v="686"/>
    <n v="205"/>
    <n v="481"/>
    <n v="245569.74000000002"/>
    <x v="3"/>
  </r>
  <r>
    <s v="7076B"/>
    <x v="2"/>
    <n v="793.19"/>
    <n v="555"/>
    <n v="26"/>
    <n v="529"/>
    <n v="419597.51"/>
    <x v="3"/>
  </r>
  <r>
    <s v="5941A"/>
    <x v="5"/>
    <n v="210.72"/>
    <n v="921"/>
    <n v="365"/>
    <n v="556"/>
    <n v="117160.31999999999"/>
    <x v="3"/>
  </r>
  <r>
    <s v="5949A"/>
    <x v="4"/>
    <n v="504.18"/>
    <n v="655"/>
    <n v="64"/>
    <n v="591"/>
    <n v="297970.38"/>
    <x v="3"/>
  </r>
  <r>
    <s v="6959C"/>
    <x v="2"/>
    <n v="576.61"/>
    <n v="698"/>
    <n v="107"/>
    <n v="591"/>
    <n v="340776.51"/>
    <x v="3"/>
  </r>
  <r>
    <s v="8367A"/>
    <x v="0"/>
    <n v="435.65"/>
    <n v="715"/>
    <n v="96"/>
    <n v="619"/>
    <n v="269667.34999999998"/>
    <x v="3"/>
  </r>
  <r>
    <s v="6150C"/>
    <x v="3"/>
    <n v="294.33"/>
    <n v="799"/>
    <n v="18"/>
    <n v="781"/>
    <n v="229871.7299999999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A3226-D96C-43C1-A390-8646B5BAF7F7}" name="din_Valor_em_Estoque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N2:N3" firstHeaderRow="1" firstDataRow="1" firstDataCol="0"/>
  <pivotFields count="8">
    <pivotField showAll="0"/>
    <pivotField showAll="0">
      <items count="8">
        <item x="1"/>
        <item x="2"/>
        <item x="4"/>
        <item x="6"/>
        <item x="3"/>
        <item x="0"/>
        <item x="5"/>
        <item t="default"/>
      </items>
    </pivotField>
    <pivotField numFmtId="44" showAll="0"/>
    <pivotField numFmtId="164" showAll="0"/>
    <pivotField numFmtId="164" showAll="0"/>
    <pivotField numFmtId="164" showAll="0"/>
    <pivotField dataField="1" numFmtId="44" showAll="0"/>
    <pivotField showAll="0">
      <items count="5">
        <item x="1"/>
        <item x="0"/>
        <item x="3"/>
        <item x="2"/>
        <item t="default"/>
      </items>
    </pivotField>
  </pivotFields>
  <rowItems count="1">
    <i/>
  </rowItems>
  <colItems count="1">
    <i/>
  </colItems>
  <dataFields count="1">
    <dataField name="Soma de Valor em Estoque" fld="6" baseField="0" baseItem="9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03785-261F-4E5D-894F-766BF67E47EB}" name="din_Preco_Medio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2">
  <location ref="K2:L10" firstHeaderRow="1" firstDataRow="1" firstDataCol="1"/>
  <pivotFields count="8">
    <pivotField showAll="0"/>
    <pivotField axis="axisRow" showAll="0">
      <items count="8">
        <item x="1"/>
        <item x="2"/>
        <item x="4"/>
        <item x="6"/>
        <item x="3"/>
        <item x="0"/>
        <item x="5"/>
        <item t="default"/>
      </items>
    </pivotField>
    <pivotField dataField="1" numFmtId="44" showAll="0"/>
    <pivotField numFmtId="164" showAll="0"/>
    <pivotField numFmtId="164" showAll="0"/>
    <pivotField numFmtId="164" showAll="0"/>
    <pivotField numFmtId="44" showAll="0"/>
    <pivotField showAll="0">
      <items count="5">
        <item x="1"/>
        <item x="0"/>
        <item x="3"/>
        <item x="2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édia de Preço" fld="2" subtotal="average" baseField="1" baseItem="0" numFmtId="44"/>
  </dataFields>
  <chartFormats count="1"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1A2C6-D07A-4677-83B8-321C9B9E883F}" name="din_Status_Estoque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gridDropZones="1" multipleFieldFilters="0" chartFormat="22">
  <location ref="G2:I8" firstHeaderRow="1" firstDataRow="2" firstDataCol="1"/>
  <pivotFields count="8">
    <pivotField dataField="1" compact="0" outline="0" showAll="0"/>
    <pivotField compact="0" outline="0" showAll="0">
      <items count="8">
        <item x="1"/>
        <item x="2"/>
        <item x="4"/>
        <item x="6"/>
        <item x="3"/>
        <item x="0"/>
        <item x="5"/>
        <item t="default"/>
      </items>
    </pivotField>
    <pivotField compact="0" numFmtId="44" outline="0" showAll="0"/>
    <pivotField compact="0" numFmtId="164" outline="0" showAll="0"/>
    <pivotField compact="0" numFmtId="164" outline="0" showAll="0"/>
    <pivotField compact="0" numFmtId="164" outline="0" showAll="0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/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SKU" fld="0" subtotal="count" baseField="0" baseItem="0"/>
    <dataField name="% de SKU" fld="0" subtotal="count" showDataAs="percentOfTotal" baseField="7" baseItem="1" numFmtId="1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A426A-2594-46BF-8290-7AED22B55B79}" name="din_Controle_Estoque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3">
  <location ref="B2:E10" firstHeaderRow="0" firstDataRow="1" firstDataCol="1"/>
  <pivotFields count="8">
    <pivotField showAll="0"/>
    <pivotField axis="axisRow" showAll="0" sortType="descending">
      <items count="8">
        <item x="5"/>
        <item x="0"/>
        <item x="3"/>
        <item x="6"/>
        <item x="4"/>
        <item x="2"/>
        <item x="1"/>
        <item t="default"/>
      </items>
    </pivotField>
    <pivotField numFmtId="44" showAll="0"/>
    <pivotField dataField="1" numFmtId="164" showAll="0"/>
    <pivotField dataField="1" numFmtId="164" showAll="0"/>
    <pivotField dataField="1" numFmtId="164" showAll="0"/>
    <pivotField numFmtId="44" showAll="0"/>
    <pivotField showAll="0">
      <items count="5">
        <item x="1"/>
        <item x="0"/>
        <item x="3"/>
        <item x="2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Saldo Atual" fld="5" baseField="1" baseItem="2" numFmtId="41"/>
    <dataField name="Soma de Qntd Saídas" fld="4" baseField="1" baseItem="2" numFmtId="41"/>
    <dataField name="Soma de Qntd Entradas" fld="3" baseField="1" baseItem="3" numFmtId="41"/>
  </dataFields>
  <chartFormats count="4"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939A5285-5A28-4EF3-BB32-800DC6010ACD}" sourceName="Categoria">
  <pivotTables>
    <pivotTable tabId="7" name="din_Controle_Estoque"/>
    <pivotTable tabId="7" name="din_Status_Estoque"/>
    <pivotTable tabId="7" name="din_Preco_Medio"/>
    <pivotTable tabId="7" name="din_Valor_em_Estoque"/>
  </pivotTables>
  <data>
    <tabular pivotCacheId="294301539">
      <items count="7">
        <i x="1" s="1"/>
        <i x="2" s="1"/>
        <i x="4" s="1"/>
        <i x="6" s="1"/>
        <i x="3" s="1"/>
        <i x="0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l_Estoque" xr10:uid="{32204796-0018-4BD4-B1CC-16785E55C718}" sourceName="Fl Estoque">
  <pivotTables>
    <pivotTable tabId="7" name="din_Controle_Estoque"/>
    <pivotTable tabId="7" name="din_Preco_Medio"/>
    <pivotTable tabId="7" name="din_Valor_em_Estoque"/>
  </pivotTables>
  <data>
    <tabular pivotCacheId="294301539">
      <items count="4">
        <i x="1" s="1"/>
        <i x="0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F3518B74-3B9A-4C6A-8724-0934650813D5}" cache="SegmentaçãodeDados_Categoria" caption="Categoria" columnCount="4" rowHeight="241300"/>
  <slicer name="Fl Estoque" xr10:uid="{C58328B9-34AC-41DF-BA90-1A8343D47E05}" cache="SegmentaçãodeDados_Fl_Estoque" caption="Status Estoqu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D3A4F-A9D5-4AC4-8F22-BD0716752F0A}" name="tb_Entrada" displayName="tb_Entrada" ref="A1:D501" totalsRowShown="0" headerRowDxfId="30" dataDxfId="28" headerRowBorderDxfId="29" tableBorderDxfId="27">
  <autoFilter ref="A1:D501" xr:uid="{9C6D3A4F-A9D5-4AC4-8F22-BD0716752F0A}"/>
  <tableColumns count="4">
    <tableColumn id="1" xr3:uid="{B658A404-1E2F-4327-A1F5-50E2CD37ABBF}" name="Data" dataDxfId="26"/>
    <tableColumn id="2" xr3:uid="{BFF50EEE-3E7A-43FC-B338-E9676C2E4E17}" name="SKU" dataDxfId="25"/>
    <tableColumn id="3" xr3:uid="{7590CD79-E373-4734-A999-AAB6E93CB7F5}" name="Produto" dataDxfId="24"/>
    <tableColumn id="4" xr3:uid="{30627076-C52C-4147-944B-21F9A557327A}" name="Quantidade" dataDxfId="23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9E0FE-CBCD-4E39-BBC7-33E278583CC4}" name="tb_Saida" displayName="tb_Saida" ref="A1:D501" totalsRowShown="0" headerRowDxfId="22" dataDxfId="20" headerRowBorderDxfId="21" tableBorderDxfId="19">
  <autoFilter ref="A1:D501" xr:uid="{D269E0FE-CBCD-4E39-BBC7-33E278583CC4}"/>
  <tableColumns count="4">
    <tableColumn id="1" xr3:uid="{92941A5F-045B-4EBB-AB01-BB3067271D00}" name="Data" dataDxfId="18"/>
    <tableColumn id="2" xr3:uid="{CC6F3C8A-BE4F-4AFE-B153-4899C7925699}" name="SKU" dataDxfId="17"/>
    <tableColumn id="3" xr3:uid="{80ED31CC-D880-46BF-B230-887652665131}" name="Produto" dataDxfId="16"/>
    <tableColumn id="4" xr3:uid="{9F510EA1-00EB-4D68-97A2-693514A133FB}" name="Quantidade" dataDxfId="1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027571-A793-40E7-B0E9-D59F4221083A}" name="tb_Cadastro" displayName="tb_Cadastro" ref="A1:E121" totalsRowShown="0" headerRowDxfId="14" dataDxfId="13">
  <autoFilter ref="A1:E121" xr:uid="{4E027571-A793-40E7-B0E9-D59F4221083A}"/>
  <tableColumns count="5">
    <tableColumn id="1" xr3:uid="{EFFDD3CD-F665-47A7-BE1C-152020E9BF43}" name="SKU" dataDxfId="12"/>
    <tableColumn id="2" xr3:uid="{12E18CD1-EFB3-4E0F-A06B-5CE4EF0A3A28}" name="Produto" dataDxfId="11"/>
    <tableColumn id="3" xr3:uid="{2F51BC76-1CFB-4B19-B2CF-F49813446C72}" name="Descrição" dataDxfId="10"/>
    <tableColumn id="4" xr3:uid="{0A88F922-8F10-46EB-9D14-4B4BF551DACD}" name="Categoria" dataDxfId="9"/>
    <tableColumn id="5" xr3:uid="{192D3621-44F6-4D7D-8CF5-A86913C735E9}" name="Preço" dataDxfId="8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E6196C-B83C-4EE0-855F-A14B3DDDB722}" name="tb_Resumo" displayName="tb_Resumo" ref="A1:H121" totalsRowShown="0">
  <autoFilter ref="A1:H121" xr:uid="{AAE6196C-B83C-4EE0-855F-A14B3DDDB722}"/>
  <sortState xmlns:xlrd2="http://schemas.microsoft.com/office/spreadsheetml/2017/richdata2" ref="A2:H121">
    <sortCondition ref="F1:F121"/>
  </sortState>
  <tableColumns count="8">
    <tableColumn id="1" xr3:uid="{CAEE94DE-C097-4631-B229-31E846C8C456}" name="SKU"/>
    <tableColumn id="2" xr3:uid="{31F1E5EB-7098-4584-8D51-0EF68CC94ABF}" name="Categoria">
      <calculatedColumnFormula>_xlfn.XLOOKUP(tb_Resumo[[#This Row],[SKU]], tb_Cadastro[SKU], tb_Cadastro[Categoria])</calculatedColumnFormula>
    </tableColumn>
    <tableColumn id="3" xr3:uid="{49806FE1-34D4-4106-8BD4-AFDD7BF15B95}" name="Preço" dataDxfId="3" dataCellStyle="Moeda">
      <calculatedColumnFormula>_xlfn.XLOOKUP(tb_Resumo[[#This Row],[SKU]], tb_Cadastro[SKU], tb_Cadastro[Preço])</calculatedColumnFormula>
    </tableColumn>
    <tableColumn id="4" xr3:uid="{E8A58143-D3C9-4DDA-BC57-85401D342C3E}" name="Qntd Entradas" dataDxfId="7" dataCellStyle="Vírgula">
      <calculatedColumnFormula>SUMIFS(tb_Entrada[Quantidade], tb_Entrada[SKU], tb_Resumo[[#This Row],[SKU]])</calculatedColumnFormula>
    </tableColumn>
    <tableColumn id="5" xr3:uid="{D36C8644-CC7D-4DCE-B4B7-06DFF1DEDA68}" name="Qntd Saídas" dataDxfId="5" dataCellStyle="Título 4">
      <calculatedColumnFormula>SUMIFS(tb_Saida[Quantidade], tb_Saida[SKU], tb_Resumo[[#This Row],[SKU]])</calculatedColumnFormula>
    </tableColumn>
    <tableColumn id="6" xr3:uid="{F7B1A4B0-7353-4890-93D8-66DA84563545}" name="Saldo Atual" dataDxfId="4" dataCellStyle="Título 4">
      <calculatedColumnFormula>tb_Resumo[[#This Row],[Qntd Entradas]]-tb_Resumo[[#This Row],[Qntd Saídas]]</calculatedColumnFormula>
    </tableColumn>
    <tableColumn id="7" xr3:uid="{C4B105E7-CEBF-4FA6-8189-CE6D616014E6}" name="Valor em Estoque" dataCellStyle="Moeda">
      <calculatedColumnFormula>tb_Resumo[[#This Row],[Saldo Atual]]*tb_Resumo[[#This Row],[Preço]]</calculatedColumnFormula>
    </tableColumn>
    <tableColumn id="8" xr3:uid="{87CFE2CA-311C-4D8A-BE1C-94C1B19C974B}" name="Fl Estoque" dataDxfId="6" dataCellStyle="Vírgula">
      <calculatedColumnFormula array="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F21" sqref="F21"/>
    </sheetView>
  </sheetViews>
  <sheetFormatPr defaultColWidth="14.42578125" defaultRowHeight="15" customHeight="1" x14ac:dyDescent="0.25"/>
  <cols>
    <col min="1" max="1" width="10.7109375" bestFit="1" customWidth="1"/>
    <col min="2" max="2" width="9.140625" bestFit="1" customWidth="1"/>
    <col min="3" max="3" width="21.42578125" bestFit="1" customWidth="1"/>
    <col min="4" max="4" width="16" bestFit="1" customWidth="1"/>
    <col min="5" max="26" width="8.7109375" customWidth="1"/>
  </cols>
  <sheetData>
    <row r="1" spans="1:4" x14ac:dyDescent="0.25">
      <c r="A1" s="6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2">
        <v>45722</v>
      </c>
      <c r="B2" s="3" t="s">
        <v>4</v>
      </c>
      <c r="C2" s="3" t="s">
        <v>5</v>
      </c>
      <c r="D2" s="3">
        <v>30</v>
      </c>
    </row>
    <row r="3" spans="1:4" x14ac:dyDescent="0.25">
      <c r="A3" s="2">
        <v>45728</v>
      </c>
      <c r="B3" s="3" t="s">
        <v>6</v>
      </c>
      <c r="C3" s="3" t="s">
        <v>5</v>
      </c>
      <c r="D3" s="3">
        <v>57</v>
      </c>
    </row>
    <row r="4" spans="1:4" x14ac:dyDescent="0.25">
      <c r="A4" s="2">
        <v>45678</v>
      </c>
      <c r="B4" s="3" t="s">
        <v>7</v>
      </c>
      <c r="C4" s="3" t="s">
        <v>8</v>
      </c>
      <c r="D4" s="3">
        <v>20</v>
      </c>
    </row>
    <row r="5" spans="1:4" x14ac:dyDescent="0.25">
      <c r="A5" s="2">
        <v>45667</v>
      </c>
      <c r="B5" s="3" t="s">
        <v>9</v>
      </c>
      <c r="C5" s="3" t="s">
        <v>8</v>
      </c>
      <c r="D5" s="3">
        <v>19</v>
      </c>
    </row>
    <row r="6" spans="1:4" x14ac:dyDescent="0.25">
      <c r="A6" s="2">
        <v>45708</v>
      </c>
      <c r="B6" s="3" t="s">
        <v>10</v>
      </c>
      <c r="C6" s="3" t="s">
        <v>8</v>
      </c>
      <c r="D6" s="3">
        <v>127</v>
      </c>
    </row>
    <row r="7" spans="1:4" x14ac:dyDescent="0.25">
      <c r="A7" s="2">
        <v>45692</v>
      </c>
      <c r="B7" s="3" t="s">
        <v>11</v>
      </c>
      <c r="C7" s="3" t="s">
        <v>5</v>
      </c>
      <c r="D7" s="3">
        <v>114</v>
      </c>
    </row>
    <row r="8" spans="1:4" x14ac:dyDescent="0.25">
      <c r="A8" s="2">
        <v>45718</v>
      </c>
      <c r="B8" s="3" t="s">
        <v>12</v>
      </c>
      <c r="C8" s="3" t="s">
        <v>13</v>
      </c>
      <c r="D8" s="3">
        <v>46</v>
      </c>
    </row>
    <row r="9" spans="1:4" x14ac:dyDescent="0.25">
      <c r="A9" s="2">
        <v>45732</v>
      </c>
      <c r="B9" s="3" t="s">
        <v>14</v>
      </c>
      <c r="C9" s="3" t="s">
        <v>8</v>
      </c>
      <c r="D9" s="3">
        <v>60</v>
      </c>
    </row>
    <row r="10" spans="1:4" x14ac:dyDescent="0.25">
      <c r="A10" s="2">
        <v>45683</v>
      </c>
      <c r="B10" s="3" t="s">
        <v>15</v>
      </c>
      <c r="C10" s="3" t="s">
        <v>16</v>
      </c>
      <c r="D10" s="3">
        <v>2</v>
      </c>
    </row>
    <row r="11" spans="1:4" x14ac:dyDescent="0.25">
      <c r="A11" s="2">
        <v>45673</v>
      </c>
      <c r="B11" s="3" t="s">
        <v>17</v>
      </c>
      <c r="C11" s="3" t="s">
        <v>16</v>
      </c>
      <c r="D11" s="3">
        <v>75</v>
      </c>
    </row>
    <row r="12" spans="1:4" x14ac:dyDescent="0.25">
      <c r="A12" s="2">
        <v>45677</v>
      </c>
      <c r="B12" s="3" t="s">
        <v>18</v>
      </c>
      <c r="C12" s="3" t="s">
        <v>13</v>
      </c>
      <c r="D12" s="3">
        <v>3</v>
      </c>
    </row>
    <row r="13" spans="1:4" x14ac:dyDescent="0.25">
      <c r="A13" s="2">
        <v>45661</v>
      </c>
      <c r="B13" s="3" t="s">
        <v>19</v>
      </c>
      <c r="C13" s="3" t="s">
        <v>20</v>
      </c>
      <c r="D13" s="3">
        <v>113</v>
      </c>
    </row>
    <row r="14" spans="1:4" x14ac:dyDescent="0.25">
      <c r="A14" s="2">
        <v>45722</v>
      </c>
      <c r="B14" s="3" t="s">
        <v>21</v>
      </c>
      <c r="C14" s="3" t="s">
        <v>22</v>
      </c>
      <c r="D14" s="3">
        <v>34</v>
      </c>
    </row>
    <row r="15" spans="1:4" x14ac:dyDescent="0.25">
      <c r="A15" s="2">
        <v>45715</v>
      </c>
      <c r="B15" s="3" t="s">
        <v>23</v>
      </c>
      <c r="C15" s="3" t="s">
        <v>24</v>
      </c>
      <c r="D15" s="3">
        <v>56</v>
      </c>
    </row>
    <row r="16" spans="1:4" x14ac:dyDescent="0.25">
      <c r="A16" s="2">
        <v>45703</v>
      </c>
      <c r="B16" s="3" t="s">
        <v>25</v>
      </c>
      <c r="C16" s="3" t="s">
        <v>26</v>
      </c>
      <c r="D16" s="3">
        <v>104</v>
      </c>
    </row>
    <row r="17" spans="1:4" x14ac:dyDescent="0.25">
      <c r="A17" s="2">
        <v>45711</v>
      </c>
      <c r="B17" s="3" t="s">
        <v>27</v>
      </c>
      <c r="C17" s="3" t="s">
        <v>28</v>
      </c>
      <c r="D17" s="3">
        <v>60</v>
      </c>
    </row>
    <row r="18" spans="1:4" x14ac:dyDescent="0.25">
      <c r="A18" s="2">
        <v>45691</v>
      </c>
      <c r="B18" s="3" t="s">
        <v>29</v>
      </c>
      <c r="C18" s="3" t="s">
        <v>16</v>
      </c>
      <c r="D18" s="3">
        <v>130</v>
      </c>
    </row>
    <row r="19" spans="1:4" x14ac:dyDescent="0.25">
      <c r="A19" s="2">
        <v>45685</v>
      </c>
      <c r="B19" s="3" t="s">
        <v>30</v>
      </c>
      <c r="C19" s="3" t="s">
        <v>31</v>
      </c>
      <c r="D19" s="3">
        <v>147</v>
      </c>
    </row>
    <row r="20" spans="1:4" x14ac:dyDescent="0.25">
      <c r="A20" s="2">
        <v>45693</v>
      </c>
      <c r="B20" s="3" t="s">
        <v>32</v>
      </c>
      <c r="C20" s="3" t="s">
        <v>22</v>
      </c>
      <c r="D20" s="3">
        <v>36</v>
      </c>
    </row>
    <row r="21" spans="1:4" ht="15.75" customHeight="1" x14ac:dyDescent="0.25">
      <c r="A21" s="2">
        <v>45734</v>
      </c>
      <c r="B21" s="3" t="s">
        <v>33</v>
      </c>
      <c r="C21" s="3" t="s">
        <v>28</v>
      </c>
      <c r="D21" s="3">
        <v>58</v>
      </c>
    </row>
    <row r="22" spans="1:4" ht="15.75" customHeight="1" x14ac:dyDescent="0.25">
      <c r="A22" s="2">
        <v>45690</v>
      </c>
      <c r="B22" s="3" t="s">
        <v>34</v>
      </c>
      <c r="C22" s="3" t="s">
        <v>28</v>
      </c>
      <c r="D22" s="3">
        <v>7</v>
      </c>
    </row>
    <row r="23" spans="1:4" ht="15.75" customHeight="1" x14ac:dyDescent="0.25">
      <c r="A23" s="2">
        <v>45742</v>
      </c>
      <c r="B23" s="3" t="s">
        <v>35</v>
      </c>
      <c r="C23" s="3" t="s">
        <v>8</v>
      </c>
      <c r="D23" s="3">
        <v>39</v>
      </c>
    </row>
    <row r="24" spans="1:4" ht="15.75" customHeight="1" x14ac:dyDescent="0.25">
      <c r="A24" s="2">
        <v>45666</v>
      </c>
      <c r="B24" s="3" t="s">
        <v>36</v>
      </c>
      <c r="C24" s="3" t="s">
        <v>22</v>
      </c>
      <c r="D24" s="3">
        <v>148</v>
      </c>
    </row>
    <row r="25" spans="1:4" ht="15.75" customHeight="1" x14ac:dyDescent="0.25">
      <c r="A25" s="2">
        <v>45664</v>
      </c>
      <c r="B25" s="3" t="s">
        <v>37</v>
      </c>
      <c r="C25" s="3" t="s">
        <v>8</v>
      </c>
      <c r="D25" s="3">
        <v>95</v>
      </c>
    </row>
    <row r="26" spans="1:4" ht="15.75" customHeight="1" x14ac:dyDescent="0.25">
      <c r="A26" s="2">
        <v>45736</v>
      </c>
      <c r="B26" s="3" t="s">
        <v>38</v>
      </c>
      <c r="C26" s="3" t="s">
        <v>39</v>
      </c>
      <c r="D26" s="3">
        <v>111</v>
      </c>
    </row>
    <row r="27" spans="1:4" ht="15.75" customHeight="1" x14ac:dyDescent="0.25">
      <c r="A27" s="2">
        <v>45730</v>
      </c>
      <c r="B27" s="3" t="s">
        <v>40</v>
      </c>
      <c r="C27" s="3" t="s">
        <v>41</v>
      </c>
      <c r="D27" s="3">
        <v>92</v>
      </c>
    </row>
    <row r="28" spans="1:4" ht="15.75" customHeight="1" x14ac:dyDescent="0.25">
      <c r="A28" s="2">
        <v>45694</v>
      </c>
      <c r="B28" s="3" t="s">
        <v>42</v>
      </c>
      <c r="C28" s="3" t="s">
        <v>24</v>
      </c>
      <c r="D28" s="3">
        <v>75</v>
      </c>
    </row>
    <row r="29" spans="1:4" ht="15.75" customHeight="1" x14ac:dyDescent="0.25">
      <c r="A29" s="2">
        <v>45694</v>
      </c>
      <c r="B29" s="3" t="s">
        <v>43</v>
      </c>
      <c r="C29" s="3" t="s">
        <v>16</v>
      </c>
      <c r="D29" s="3">
        <v>135</v>
      </c>
    </row>
    <row r="30" spans="1:4" ht="15.75" customHeight="1" x14ac:dyDescent="0.25">
      <c r="A30" s="2">
        <v>45667</v>
      </c>
      <c r="B30" s="3" t="s">
        <v>44</v>
      </c>
      <c r="C30" s="3" t="s">
        <v>20</v>
      </c>
      <c r="D30" s="3">
        <v>115</v>
      </c>
    </row>
    <row r="31" spans="1:4" ht="15.75" customHeight="1" x14ac:dyDescent="0.25">
      <c r="A31" s="2">
        <v>45739</v>
      </c>
      <c r="B31" s="3" t="s">
        <v>45</v>
      </c>
      <c r="C31" s="3" t="s">
        <v>24</v>
      </c>
      <c r="D31" s="3">
        <v>121</v>
      </c>
    </row>
    <row r="32" spans="1:4" ht="15.75" customHeight="1" x14ac:dyDescent="0.25">
      <c r="A32" s="2">
        <v>45717</v>
      </c>
      <c r="B32" s="3" t="s">
        <v>46</v>
      </c>
      <c r="C32" s="3" t="s">
        <v>20</v>
      </c>
      <c r="D32" s="3">
        <v>116</v>
      </c>
    </row>
    <row r="33" spans="1:4" ht="15.75" customHeight="1" x14ac:dyDescent="0.25">
      <c r="A33" s="2">
        <v>45728</v>
      </c>
      <c r="B33" s="3" t="s">
        <v>47</v>
      </c>
      <c r="C33" s="3" t="s">
        <v>22</v>
      </c>
      <c r="D33" s="3">
        <v>45</v>
      </c>
    </row>
    <row r="34" spans="1:4" ht="15.75" customHeight="1" x14ac:dyDescent="0.25">
      <c r="A34" s="2">
        <v>45704</v>
      </c>
      <c r="B34" s="3" t="s">
        <v>21</v>
      </c>
      <c r="C34" s="3" t="s">
        <v>22</v>
      </c>
      <c r="D34" s="3">
        <v>145</v>
      </c>
    </row>
    <row r="35" spans="1:4" ht="15.75" customHeight="1" x14ac:dyDescent="0.25">
      <c r="A35" s="2">
        <v>45671</v>
      </c>
      <c r="B35" s="3" t="s">
        <v>33</v>
      </c>
      <c r="C35" s="3" t="s">
        <v>28</v>
      </c>
      <c r="D35" s="3">
        <v>105</v>
      </c>
    </row>
    <row r="36" spans="1:4" ht="15.75" customHeight="1" x14ac:dyDescent="0.25">
      <c r="A36" s="2">
        <v>45697</v>
      </c>
      <c r="B36" s="3" t="s">
        <v>48</v>
      </c>
      <c r="C36" s="3" t="s">
        <v>22</v>
      </c>
      <c r="D36" s="3">
        <v>71</v>
      </c>
    </row>
    <row r="37" spans="1:4" ht="15.75" customHeight="1" x14ac:dyDescent="0.25">
      <c r="A37" s="2">
        <v>45738</v>
      </c>
      <c r="B37" s="3" t="s">
        <v>49</v>
      </c>
      <c r="C37" s="3" t="s">
        <v>50</v>
      </c>
      <c r="D37" s="3">
        <v>17</v>
      </c>
    </row>
    <row r="38" spans="1:4" ht="15.75" customHeight="1" x14ac:dyDescent="0.25">
      <c r="A38" s="2">
        <v>45687</v>
      </c>
      <c r="B38" s="3" t="s">
        <v>51</v>
      </c>
      <c r="C38" s="3" t="s">
        <v>52</v>
      </c>
      <c r="D38" s="3">
        <v>59</v>
      </c>
    </row>
    <row r="39" spans="1:4" ht="15.75" customHeight="1" x14ac:dyDescent="0.25">
      <c r="A39" s="2">
        <v>45670</v>
      </c>
      <c r="B39" s="3" t="s">
        <v>53</v>
      </c>
      <c r="C39" s="3" t="s">
        <v>50</v>
      </c>
      <c r="D39" s="3">
        <v>52</v>
      </c>
    </row>
    <row r="40" spans="1:4" ht="15.75" customHeight="1" x14ac:dyDescent="0.25">
      <c r="A40" s="2">
        <v>45705</v>
      </c>
      <c r="B40" s="3" t="s">
        <v>54</v>
      </c>
      <c r="C40" s="3" t="s">
        <v>22</v>
      </c>
      <c r="D40" s="3">
        <v>114</v>
      </c>
    </row>
    <row r="41" spans="1:4" ht="15.75" customHeight="1" x14ac:dyDescent="0.25">
      <c r="A41" s="2">
        <v>45723</v>
      </c>
      <c r="B41" s="3" t="s">
        <v>55</v>
      </c>
      <c r="C41" s="3" t="s">
        <v>24</v>
      </c>
      <c r="D41" s="3">
        <v>17</v>
      </c>
    </row>
    <row r="42" spans="1:4" ht="15.75" customHeight="1" x14ac:dyDescent="0.25">
      <c r="A42" s="2">
        <v>45733</v>
      </c>
      <c r="B42" s="3" t="s">
        <v>56</v>
      </c>
      <c r="C42" s="3" t="s">
        <v>5</v>
      </c>
      <c r="D42" s="3">
        <v>39</v>
      </c>
    </row>
    <row r="43" spans="1:4" ht="15.75" customHeight="1" x14ac:dyDescent="0.25">
      <c r="A43" s="2">
        <v>45682</v>
      </c>
      <c r="B43" s="3" t="s">
        <v>12</v>
      </c>
      <c r="C43" s="3" t="s">
        <v>13</v>
      </c>
      <c r="D43" s="3">
        <v>142</v>
      </c>
    </row>
    <row r="44" spans="1:4" ht="15.75" customHeight="1" x14ac:dyDescent="0.25">
      <c r="A44" s="2">
        <v>45724</v>
      </c>
      <c r="B44" s="3" t="s">
        <v>57</v>
      </c>
      <c r="C44" s="3" t="s">
        <v>8</v>
      </c>
      <c r="D44" s="3">
        <v>120</v>
      </c>
    </row>
    <row r="45" spans="1:4" ht="15.75" customHeight="1" x14ac:dyDescent="0.25">
      <c r="A45" s="2">
        <v>45732</v>
      </c>
      <c r="B45" s="3" t="s">
        <v>40</v>
      </c>
      <c r="C45" s="3" t="s">
        <v>41</v>
      </c>
      <c r="D45" s="3">
        <v>111</v>
      </c>
    </row>
    <row r="46" spans="1:4" ht="15.75" customHeight="1" x14ac:dyDescent="0.25">
      <c r="A46" s="2">
        <v>45691</v>
      </c>
      <c r="B46" s="3" t="s">
        <v>58</v>
      </c>
      <c r="C46" s="3" t="s">
        <v>24</v>
      </c>
      <c r="D46" s="3">
        <v>48</v>
      </c>
    </row>
    <row r="47" spans="1:4" ht="15.75" customHeight="1" x14ac:dyDescent="0.25">
      <c r="A47" s="2">
        <v>45723</v>
      </c>
      <c r="B47" s="3" t="s">
        <v>11</v>
      </c>
      <c r="C47" s="3" t="s">
        <v>5</v>
      </c>
      <c r="D47" s="3">
        <v>87</v>
      </c>
    </row>
    <row r="48" spans="1:4" ht="15.75" customHeight="1" x14ac:dyDescent="0.25">
      <c r="A48" s="2">
        <v>45732</v>
      </c>
      <c r="B48" s="3" t="s">
        <v>57</v>
      </c>
      <c r="C48" s="3" t="s">
        <v>8</v>
      </c>
      <c r="D48" s="3">
        <v>42</v>
      </c>
    </row>
    <row r="49" spans="1:4" ht="15.75" customHeight="1" x14ac:dyDescent="0.25">
      <c r="A49" s="2">
        <v>45667</v>
      </c>
      <c r="B49" s="3" t="s">
        <v>59</v>
      </c>
      <c r="C49" s="3" t="s">
        <v>16</v>
      </c>
      <c r="D49" s="3">
        <v>87</v>
      </c>
    </row>
    <row r="50" spans="1:4" ht="15.75" customHeight="1" x14ac:dyDescent="0.25">
      <c r="A50" s="2">
        <v>45718</v>
      </c>
      <c r="B50" s="3" t="s">
        <v>53</v>
      </c>
      <c r="C50" s="3" t="s">
        <v>50</v>
      </c>
      <c r="D50" s="3">
        <v>73</v>
      </c>
    </row>
    <row r="51" spans="1:4" ht="15.75" customHeight="1" x14ac:dyDescent="0.25">
      <c r="A51" s="2">
        <v>45711</v>
      </c>
      <c r="B51" s="3" t="s">
        <v>60</v>
      </c>
      <c r="C51" s="3" t="s">
        <v>24</v>
      </c>
      <c r="D51" s="3">
        <v>63</v>
      </c>
    </row>
    <row r="52" spans="1:4" ht="15.75" customHeight="1" x14ac:dyDescent="0.25">
      <c r="A52" s="2">
        <v>45733</v>
      </c>
      <c r="B52" s="3" t="s">
        <v>57</v>
      </c>
      <c r="C52" s="3" t="s">
        <v>8</v>
      </c>
      <c r="D52" s="3">
        <v>98</v>
      </c>
    </row>
    <row r="53" spans="1:4" ht="15.75" customHeight="1" x14ac:dyDescent="0.25">
      <c r="A53" s="2">
        <v>45665</v>
      </c>
      <c r="B53" s="3" t="s">
        <v>61</v>
      </c>
      <c r="C53" s="3" t="s">
        <v>62</v>
      </c>
      <c r="D53" s="3">
        <v>49</v>
      </c>
    </row>
    <row r="54" spans="1:4" ht="15.75" customHeight="1" x14ac:dyDescent="0.25">
      <c r="A54" s="2">
        <v>45709</v>
      </c>
      <c r="B54" s="3" t="s">
        <v>38</v>
      </c>
      <c r="C54" s="3" t="s">
        <v>39</v>
      </c>
      <c r="D54" s="3">
        <v>110</v>
      </c>
    </row>
    <row r="55" spans="1:4" ht="15.75" customHeight="1" x14ac:dyDescent="0.25">
      <c r="A55" s="2">
        <v>45671</v>
      </c>
      <c r="B55" s="3" t="s">
        <v>63</v>
      </c>
      <c r="C55" s="3" t="s">
        <v>26</v>
      </c>
      <c r="D55" s="3">
        <v>47</v>
      </c>
    </row>
    <row r="56" spans="1:4" ht="15.75" customHeight="1" x14ac:dyDescent="0.25">
      <c r="A56" s="2">
        <v>45707</v>
      </c>
      <c r="B56" s="3" t="s">
        <v>34</v>
      </c>
      <c r="C56" s="3" t="s">
        <v>28</v>
      </c>
      <c r="D56" s="3">
        <v>19</v>
      </c>
    </row>
    <row r="57" spans="1:4" ht="15.75" customHeight="1" x14ac:dyDescent="0.25">
      <c r="A57" s="2">
        <v>45718</v>
      </c>
      <c r="B57" s="3" t="s">
        <v>63</v>
      </c>
      <c r="C57" s="3" t="s">
        <v>26</v>
      </c>
      <c r="D57" s="3">
        <v>8</v>
      </c>
    </row>
    <row r="58" spans="1:4" ht="15.75" customHeight="1" x14ac:dyDescent="0.25">
      <c r="A58" s="2">
        <v>45690</v>
      </c>
      <c r="B58" s="3" t="s">
        <v>64</v>
      </c>
      <c r="C58" s="3" t="s">
        <v>41</v>
      </c>
      <c r="D58" s="3">
        <v>66</v>
      </c>
    </row>
    <row r="59" spans="1:4" ht="15.75" customHeight="1" x14ac:dyDescent="0.25">
      <c r="A59" s="2">
        <v>45666</v>
      </c>
      <c r="B59" s="3" t="s">
        <v>55</v>
      </c>
      <c r="C59" s="3" t="s">
        <v>24</v>
      </c>
      <c r="D59" s="3">
        <v>49</v>
      </c>
    </row>
    <row r="60" spans="1:4" ht="15.75" customHeight="1" x14ac:dyDescent="0.25">
      <c r="A60" s="2">
        <v>45742</v>
      </c>
      <c r="B60" s="3" t="s">
        <v>65</v>
      </c>
      <c r="C60" s="3" t="s">
        <v>5</v>
      </c>
      <c r="D60" s="3">
        <v>147</v>
      </c>
    </row>
    <row r="61" spans="1:4" ht="15.75" customHeight="1" x14ac:dyDescent="0.25">
      <c r="A61" s="2">
        <v>45679</v>
      </c>
      <c r="B61" s="3" t="s">
        <v>35</v>
      </c>
      <c r="C61" s="3" t="s">
        <v>8</v>
      </c>
      <c r="D61" s="3">
        <v>19</v>
      </c>
    </row>
    <row r="62" spans="1:4" ht="15.75" customHeight="1" x14ac:dyDescent="0.25">
      <c r="A62" s="2">
        <v>45705</v>
      </c>
      <c r="B62" s="3" t="s">
        <v>66</v>
      </c>
      <c r="C62" s="3" t="s">
        <v>52</v>
      </c>
      <c r="D62" s="3">
        <v>126</v>
      </c>
    </row>
    <row r="63" spans="1:4" ht="15.75" customHeight="1" x14ac:dyDescent="0.25">
      <c r="A63" s="2">
        <v>45721</v>
      </c>
      <c r="B63" s="3" t="s">
        <v>67</v>
      </c>
      <c r="C63" s="3" t="s">
        <v>39</v>
      </c>
      <c r="D63" s="3">
        <v>77</v>
      </c>
    </row>
    <row r="64" spans="1:4" ht="15.75" customHeight="1" x14ac:dyDescent="0.25">
      <c r="A64" s="2">
        <v>45689</v>
      </c>
      <c r="B64" s="3" t="s">
        <v>17</v>
      </c>
      <c r="C64" s="3" t="s">
        <v>16</v>
      </c>
      <c r="D64" s="3">
        <v>118</v>
      </c>
    </row>
    <row r="65" spans="1:4" ht="15.75" customHeight="1" x14ac:dyDescent="0.25">
      <c r="A65" s="2">
        <v>45699</v>
      </c>
      <c r="B65" s="3" t="s">
        <v>68</v>
      </c>
      <c r="C65" s="3" t="s">
        <v>62</v>
      </c>
      <c r="D65" s="3">
        <v>98</v>
      </c>
    </row>
    <row r="66" spans="1:4" ht="15.75" customHeight="1" x14ac:dyDescent="0.25">
      <c r="A66" s="2">
        <v>45682</v>
      </c>
      <c r="B66" s="3" t="s">
        <v>48</v>
      </c>
      <c r="C66" s="3" t="s">
        <v>22</v>
      </c>
      <c r="D66" s="3">
        <v>13</v>
      </c>
    </row>
    <row r="67" spans="1:4" ht="15.75" customHeight="1" x14ac:dyDescent="0.25">
      <c r="A67" s="2">
        <v>45703</v>
      </c>
      <c r="B67" s="3" t="s">
        <v>69</v>
      </c>
      <c r="C67" s="3" t="s">
        <v>24</v>
      </c>
      <c r="D67" s="3">
        <v>55</v>
      </c>
    </row>
    <row r="68" spans="1:4" ht="15.75" customHeight="1" x14ac:dyDescent="0.25">
      <c r="A68" s="2">
        <v>45665</v>
      </c>
      <c r="B68" s="3" t="s">
        <v>69</v>
      </c>
      <c r="C68" s="3" t="s">
        <v>24</v>
      </c>
      <c r="D68" s="3">
        <v>8</v>
      </c>
    </row>
    <row r="69" spans="1:4" ht="15.75" customHeight="1" x14ac:dyDescent="0.25">
      <c r="A69" s="2">
        <v>45665</v>
      </c>
      <c r="B69" s="3" t="s">
        <v>70</v>
      </c>
      <c r="C69" s="3" t="s">
        <v>52</v>
      </c>
      <c r="D69" s="3">
        <v>149</v>
      </c>
    </row>
    <row r="70" spans="1:4" ht="15.75" customHeight="1" x14ac:dyDescent="0.25">
      <c r="A70" s="2">
        <v>45713</v>
      </c>
      <c r="B70" s="3" t="s">
        <v>60</v>
      </c>
      <c r="C70" s="3" t="s">
        <v>24</v>
      </c>
      <c r="D70" s="3">
        <v>138</v>
      </c>
    </row>
    <row r="71" spans="1:4" ht="15.75" customHeight="1" x14ac:dyDescent="0.25">
      <c r="A71" s="2">
        <v>45671</v>
      </c>
      <c r="B71" s="3" t="s">
        <v>71</v>
      </c>
      <c r="C71" s="3" t="s">
        <v>20</v>
      </c>
      <c r="D71" s="3">
        <v>69</v>
      </c>
    </row>
    <row r="72" spans="1:4" ht="15.75" customHeight="1" x14ac:dyDescent="0.25">
      <c r="A72" s="2">
        <v>45715</v>
      </c>
      <c r="B72" s="3" t="s">
        <v>18</v>
      </c>
      <c r="C72" s="3" t="s">
        <v>13</v>
      </c>
      <c r="D72" s="3">
        <v>122</v>
      </c>
    </row>
    <row r="73" spans="1:4" ht="15.75" customHeight="1" x14ac:dyDescent="0.25">
      <c r="A73" s="2">
        <v>45662</v>
      </c>
      <c r="B73" s="3" t="s">
        <v>72</v>
      </c>
      <c r="C73" s="3" t="s">
        <v>13</v>
      </c>
      <c r="D73" s="3">
        <v>74</v>
      </c>
    </row>
    <row r="74" spans="1:4" ht="15.75" customHeight="1" x14ac:dyDescent="0.25">
      <c r="A74" s="2">
        <v>45738</v>
      </c>
      <c r="B74" s="3" t="s">
        <v>73</v>
      </c>
      <c r="C74" s="3" t="s">
        <v>13</v>
      </c>
      <c r="D74" s="3">
        <v>35</v>
      </c>
    </row>
    <row r="75" spans="1:4" ht="15.75" customHeight="1" x14ac:dyDescent="0.25">
      <c r="A75" s="2">
        <v>45666</v>
      </c>
      <c r="B75" s="3" t="s">
        <v>74</v>
      </c>
      <c r="C75" s="3" t="s">
        <v>75</v>
      </c>
      <c r="D75" s="3">
        <v>8</v>
      </c>
    </row>
    <row r="76" spans="1:4" ht="15.75" customHeight="1" x14ac:dyDescent="0.25">
      <c r="A76" s="2">
        <v>45695</v>
      </c>
      <c r="B76" s="3" t="s">
        <v>76</v>
      </c>
      <c r="C76" s="3" t="s">
        <v>22</v>
      </c>
      <c r="D76" s="3">
        <v>86</v>
      </c>
    </row>
    <row r="77" spans="1:4" ht="15.75" customHeight="1" x14ac:dyDescent="0.25">
      <c r="A77" s="2">
        <v>45697</v>
      </c>
      <c r="B77" s="3" t="s">
        <v>12</v>
      </c>
      <c r="C77" s="3" t="s">
        <v>13</v>
      </c>
      <c r="D77" s="3">
        <v>32</v>
      </c>
    </row>
    <row r="78" spans="1:4" ht="15.75" customHeight="1" x14ac:dyDescent="0.25">
      <c r="A78" s="2">
        <v>45734</v>
      </c>
      <c r="B78" s="3" t="s">
        <v>23</v>
      </c>
      <c r="C78" s="3" t="s">
        <v>24</v>
      </c>
      <c r="D78" s="3">
        <v>82</v>
      </c>
    </row>
    <row r="79" spans="1:4" ht="15.75" customHeight="1" x14ac:dyDescent="0.25">
      <c r="A79" s="2">
        <v>45742</v>
      </c>
      <c r="B79" s="3" t="s">
        <v>51</v>
      </c>
      <c r="C79" s="3" t="s">
        <v>52</v>
      </c>
      <c r="D79" s="3">
        <v>91</v>
      </c>
    </row>
    <row r="80" spans="1:4" ht="15.75" customHeight="1" x14ac:dyDescent="0.25">
      <c r="A80" s="2">
        <v>45714</v>
      </c>
      <c r="B80" s="3" t="s">
        <v>77</v>
      </c>
      <c r="C80" s="3" t="s">
        <v>50</v>
      </c>
      <c r="D80" s="3">
        <v>149</v>
      </c>
    </row>
    <row r="81" spans="1:4" ht="15.75" customHeight="1" x14ac:dyDescent="0.25">
      <c r="A81" s="2">
        <v>45730</v>
      </c>
      <c r="B81" s="3" t="s">
        <v>44</v>
      </c>
      <c r="C81" s="3" t="s">
        <v>20</v>
      </c>
      <c r="D81" s="3">
        <v>58</v>
      </c>
    </row>
    <row r="82" spans="1:4" ht="15.75" customHeight="1" x14ac:dyDescent="0.25">
      <c r="A82" s="2">
        <v>45716</v>
      </c>
      <c r="B82" s="3" t="s">
        <v>78</v>
      </c>
      <c r="C82" s="3" t="s">
        <v>79</v>
      </c>
      <c r="D82" s="3">
        <v>23</v>
      </c>
    </row>
    <row r="83" spans="1:4" ht="15.75" customHeight="1" x14ac:dyDescent="0.25">
      <c r="A83" s="2">
        <v>45701</v>
      </c>
      <c r="B83" s="3" t="s">
        <v>80</v>
      </c>
      <c r="C83" s="3" t="s">
        <v>22</v>
      </c>
      <c r="D83" s="3">
        <v>11</v>
      </c>
    </row>
    <row r="84" spans="1:4" ht="15.75" customHeight="1" x14ac:dyDescent="0.25">
      <c r="A84" s="2">
        <v>45666</v>
      </c>
      <c r="B84" s="3" t="s">
        <v>76</v>
      </c>
      <c r="C84" s="3" t="s">
        <v>22</v>
      </c>
      <c r="D84" s="3">
        <v>31</v>
      </c>
    </row>
    <row r="85" spans="1:4" ht="15.75" customHeight="1" x14ac:dyDescent="0.25">
      <c r="A85" s="2">
        <v>45702</v>
      </c>
      <c r="B85" s="3" t="s">
        <v>4</v>
      </c>
      <c r="C85" s="3" t="s">
        <v>5</v>
      </c>
      <c r="D85" s="3">
        <v>11</v>
      </c>
    </row>
    <row r="86" spans="1:4" ht="15.75" customHeight="1" x14ac:dyDescent="0.25">
      <c r="A86" s="2">
        <v>45663</v>
      </c>
      <c r="B86" s="3" t="s">
        <v>61</v>
      </c>
      <c r="C86" s="3" t="s">
        <v>62</v>
      </c>
      <c r="D86" s="3">
        <v>127</v>
      </c>
    </row>
    <row r="87" spans="1:4" ht="15.75" customHeight="1" x14ac:dyDescent="0.25">
      <c r="A87" s="2">
        <v>45657</v>
      </c>
      <c r="B87" s="3" t="s">
        <v>81</v>
      </c>
      <c r="C87" s="3" t="s">
        <v>82</v>
      </c>
      <c r="D87" s="3">
        <v>115</v>
      </c>
    </row>
    <row r="88" spans="1:4" ht="15.75" customHeight="1" x14ac:dyDescent="0.25">
      <c r="A88" s="2">
        <v>45726</v>
      </c>
      <c r="B88" s="3" t="s">
        <v>83</v>
      </c>
      <c r="C88" s="3" t="s">
        <v>5</v>
      </c>
      <c r="D88" s="3">
        <v>113</v>
      </c>
    </row>
    <row r="89" spans="1:4" ht="15.75" customHeight="1" x14ac:dyDescent="0.25">
      <c r="A89" s="2">
        <v>45683</v>
      </c>
      <c r="B89" s="3" t="s">
        <v>84</v>
      </c>
      <c r="C89" s="3" t="s">
        <v>85</v>
      </c>
      <c r="D89" s="3">
        <v>67</v>
      </c>
    </row>
    <row r="90" spans="1:4" ht="15.75" customHeight="1" x14ac:dyDescent="0.25">
      <c r="A90" s="2">
        <v>45674</v>
      </c>
      <c r="B90" s="3" t="s">
        <v>49</v>
      </c>
      <c r="C90" s="3" t="s">
        <v>50</v>
      </c>
      <c r="D90" s="3">
        <v>97</v>
      </c>
    </row>
    <row r="91" spans="1:4" ht="15.75" customHeight="1" x14ac:dyDescent="0.25">
      <c r="A91" s="2">
        <v>45704</v>
      </c>
      <c r="B91" s="3" t="s">
        <v>86</v>
      </c>
      <c r="C91" s="3" t="s">
        <v>26</v>
      </c>
      <c r="D91" s="3">
        <v>31</v>
      </c>
    </row>
    <row r="92" spans="1:4" ht="15.75" customHeight="1" x14ac:dyDescent="0.25">
      <c r="A92" s="2">
        <v>45701</v>
      </c>
      <c r="B92" s="3" t="s">
        <v>87</v>
      </c>
      <c r="C92" s="3" t="s">
        <v>39</v>
      </c>
      <c r="D92" s="3">
        <v>126</v>
      </c>
    </row>
    <row r="93" spans="1:4" ht="15.75" customHeight="1" x14ac:dyDescent="0.25">
      <c r="A93" s="2">
        <v>45661</v>
      </c>
      <c r="B93" s="3" t="s">
        <v>88</v>
      </c>
      <c r="C93" s="3" t="s">
        <v>75</v>
      </c>
      <c r="D93" s="3">
        <v>145</v>
      </c>
    </row>
    <row r="94" spans="1:4" ht="15.75" customHeight="1" x14ac:dyDescent="0.25">
      <c r="A94" s="2">
        <v>45746</v>
      </c>
      <c r="B94" s="3" t="s">
        <v>89</v>
      </c>
      <c r="C94" s="3" t="s">
        <v>79</v>
      </c>
      <c r="D94" s="3">
        <v>1</v>
      </c>
    </row>
    <row r="95" spans="1:4" ht="15.75" customHeight="1" x14ac:dyDescent="0.25">
      <c r="A95" s="2">
        <v>45712</v>
      </c>
      <c r="B95" s="3" t="s">
        <v>90</v>
      </c>
      <c r="C95" s="3" t="s">
        <v>39</v>
      </c>
      <c r="D95" s="3">
        <v>134</v>
      </c>
    </row>
    <row r="96" spans="1:4" ht="15.75" customHeight="1" x14ac:dyDescent="0.25">
      <c r="A96" s="2">
        <v>45677</v>
      </c>
      <c r="B96" s="3" t="s">
        <v>91</v>
      </c>
      <c r="C96" s="3" t="s">
        <v>26</v>
      </c>
      <c r="D96" s="3">
        <v>93</v>
      </c>
    </row>
    <row r="97" spans="1:4" ht="15.75" customHeight="1" x14ac:dyDescent="0.25">
      <c r="A97" s="2">
        <v>45682</v>
      </c>
      <c r="B97" s="3" t="s">
        <v>56</v>
      </c>
      <c r="C97" s="3" t="s">
        <v>5</v>
      </c>
      <c r="D97" s="3">
        <v>61</v>
      </c>
    </row>
    <row r="98" spans="1:4" ht="15.75" customHeight="1" x14ac:dyDescent="0.25">
      <c r="A98" s="2">
        <v>45710</v>
      </c>
      <c r="B98" s="3" t="s">
        <v>92</v>
      </c>
      <c r="C98" s="3" t="s">
        <v>82</v>
      </c>
      <c r="D98" s="3">
        <v>104</v>
      </c>
    </row>
    <row r="99" spans="1:4" ht="15.75" customHeight="1" x14ac:dyDescent="0.25">
      <c r="A99" s="2">
        <v>45690</v>
      </c>
      <c r="B99" s="3" t="s">
        <v>93</v>
      </c>
      <c r="C99" s="3" t="s">
        <v>82</v>
      </c>
      <c r="D99" s="3">
        <v>137</v>
      </c>
    </row>
    <row r="100" spans="1:4" ht="15.75" customHeight="1" x14ac:dyDescent="0.25">
      <c r="A100" s="2">
        <v>45730</v>
      </c>
      <c r="B100" s="3" t="s">
        <v>49</v>
      </c>
      <c r="C100" s="3" t="s">
        <v>50</v>
      </c>
      <c r="D100" s="3">
        <v>95</v>
      </c>
    </row>
    <row r="101" spans="1:4" ht="15.75" customHeight="1" x14ac:dyDescent="0.25">
      <c r="A101" s="2">
        <v>45659</v>
      </c>
      <c r="B101" s="3" t="s">
        <v>94</v>
      </c>
      <c r="C101" s="3" t="s">
        <v>52</v>
      </c>
      <c r="D101" s="3">
        <v>30</v>
      </c>
    </row>
    <row r="102" spans="1:4" ht="15.75" customHeight="1" x14ac:dyDescent="0.25">
      <c r="A102" s="2">
        <v>45732</v>
      </c>
      <c r="B102" s="3" t="s">
        <v>42</v>
      </c>
      <c r="C102" s="3" t="s">
        <v>24</v>
      </c>
      <c r="D102" s="3">
        <v>65</v>
      </c>
    </row>
    <row r="103" spans="1:4" ht="15.75" customHeight="1" x14ac:dyDescent="0.25">
      <c r="A103" s="2">
        <v>45699</v>
      </c>
      <c r="B103" s="3" t="s">
        <v>95</v>
      </c>
      <c r="C103" s="3" t="s">
        <v>39</v>
      </c>
      <c r="D103" s="3">
        <v>83</v>
      </c>
    </row>
    <row r="104" spans="1:4" ht="15.75" customHeight="1" x14ac:dyDescent="0.25">
      <c r="A104" s="2">
        <v>45703</v>
      </c>
      <c r="B104" s="3" t="s">
        <v>53</v>
      </c>
      <c r="C104" s="3" t="s">
        <v>50</v>
      </c>
      <c r="D104" s="3">
        <v>102</v>
      </c>
    </row>
    <row r="105" spans="1:4" ht="15.75" customHeight="1" x14ac:dyDescent="0.25">
      <c r="A105" s="2">
        <v>45672</v>
      </c>
      <c r="B105" s="3" t="s">
        <v>36</v>
      </c>
      <c r="C105" s="3" t="s">
        <v>22</v>
      </c>
      <c r="D105" s="3">
        <v>22</v>
      </c>
    </row>
    <row r="106" spans="1:4" ht="15.75" customHeight="1" x14ac:dyDescent="0.25">
      <c r="A106" s="2">
        <v>45685</v>
      </c>
      <c r="B106" s="3" t="s">
        <v>96</v>
      </c>
      <c r="C106" s="3" t="s">
        <v>50</v>
      </c>
      <c r="D106" s="3">
        <v>110</v>
      </c>
    </row>
    <row r="107" spans="1:4" ht="15.75" customHeight="1" x14ac:dyDescent="0.25">
      <c r="A107" s="2">
        <v>45699</v>
      </c>
      <c r="B107" s="3" t="s">
        <v>71</v>
      </c>
      <c r="C107" s="3" t="s">
        <v>20</v>
      </c>
      <c r="D107" s="3">
        <v>94</v>
      </c>
    </row>
    <row r="108" spans="1:4" ht="15.75" customHeight="1" x14ac:dyDescent="0.25">
      <c r="A108" s="2">
        <v>45707</v>
      </c>
      <c r="B108" s="3" t="s">
        <v>97</v>
      </c>
      <c r="C108" s="3" t="s">
        <v>52</v>
      </c>
      <c r="D108" s="3">
        <v>95</v>
      </c>
    </row>
    <row r="109" spans="1:4" ht="15.75" customHeight="1" x14ac:dyDescent="0.25">
      <c r="A109" s="2">
        <v>45710</v>
      </c>
      <c r="B109" s="3" t="s">
        <v>7</v>
      </c>
      <c r="C109" s="3" t="s">
        <v>8</v>
      </c>
      <c r="D109" s="3">
        <v>96</v>
      </c>
    </row>
    <row r="110" spans="1:4" ht="15.75" customHeight="1" x14ac:dyDescent="0.25">
      <c r="A110" s="2">
        <v>45726</v>
      </c>
      <c r="B110" s="3" t="s">
        <v>78</v>
      </c>
      <c r="C110" s="3" t="s">
        <v>79</v>
      </c>
      <c r="D110" s="3">
        <v>114</v>
      </c>
    </row>
    <row r="111" spans="1:4" ht="15.75" customHeight="1" x14ac:dyDescent="0.25">
      <c r="A111" s="2">
        <v>45689</v>
      </c>
      <c r="B111" s="3" t="s">
        <v>98</v>
      </c>
      <c r="C111" s="3" t="s">
        <v>22</v>
      </c>
      <c r="D111" s="3">
        <v>77</v>
      </c>
    </row>
    <row r="112" spans="1:4" ht="15.75" customHeight="1" x14ac:dyDescent="0.25">
      <c r="A112" s="2">
        <v>45695</v>
      </c>
      <c r="B112" s="3" t="s">
        <v>59</v>
      </c>
      <c r="C112" s="3" t="s">
        <v>16</v>
      </c>
      <c r="D112" s="3">
        <v>59</v>
      </c>
    </row>
    <row r="113" spans="1:4" ht="15.75" customHeight="1" x14ac:dyDescent="0.25">
      <c r="A113" s="2">
        <v>45722</v>
      </c>
      <c r="B113" s="3" t="s">
        <v>45</v>
      </c>
      <c r="C113" s="3" t="s">
        <v>24</v>
      </c>
      <c r="D113" s="3">
        <v>147</v>
      </c>
    </row>
    <row r="114" spans="1:4" ht="15.75" customHeight="1" x14ac:dyDescent="0.25">
      <c r="A114" s="2">
        <v>45727</v>
      </c>
      <c r="B114" s="3" t="s">
        <v>99</v>
      </c>
      <c r="C114" s="3" t="s">
        <v>16</v>
      </c>
      <c r="D114" s="3">
        <v>44</v>
      </c>
    </row>
    <row r="115" spans="1:4" ht="15.75" customHeight="1" x14ac:dyDescent="0.25">
      <c r="A115" s="2">
        <v>45661</v>
      </c>
      <c r="B115" s="3" t="s">
        <v>51</v>
      </c>
      <c r="C115" s="3" t="s">
        <v>52</v>
      </c>
      <c r="D115" s="3">
        <v>113</v>
      </c>
    </row>
    <row r="116" spans="1:4" ht="15.75" customHeight="1" x14ac:dyDescent="0.25">
      <c r="A116" s="2">
        <v>45723</v>
      </c>
      <c r="B116" s="3" t="s">
        <v>54</v>
      </c>
      <c r="C116" s="3" t="s">
        <v>22</v>
      </c>
      <c r="D116" s="3">
        <v>55</v>
      </c>
    </row>
    <row r="117" spans="1:4" ht="15.75" customHeight="1" x14ac:dyDescent="0.25">
      <c r="A117" s="2">
        <v>45678</v>
      </c>
      <c r="B117" s="3" t="s">
        <v>76</v>
      </c>
      <c r="C117" s="3" t="s">
        <v>22</v>
      </c>
      <c r="D117" s="3">
        <v>125</v>
      </c>
    </row>
    <row r="118" spans="1:4" ht="15.75" customHeight="1" x14ac:dyDescent="0.25">
      <c r="A118" s="2">
        <v>45658</v>
      </c>
      <c r="B118" s="3" t="s">
        <v>100</v>
      </c>
      <c r="C118" s="3" t="s">
        <v>79</v>
      </c>
      <c r="D118" s="3">
        <v>117</v>
      </c>
    </row>
    <row r="119" spans="1:4" ht="15.75" customHeight="1" x14ac:dyDescent="0.25">
      <c r="A119" s="2">
        <v>45719</v>
      </c>
      <c r="B119" s="3" t="s">
        <v>101</v>
      </c>
      <c r="C119" s="3" t="s">
        <v>24</v>
      </c>
      <c r="D119" s="3">
        <v>43</v>
      </c>
    </row>
    <row r="120" spans="1:4" ht="15.75" customHeight="1" x14ac:dyDescent="0.25">
      <c r="A120" s="2">
        <v>45736</v>
      </c>
      <c r="B120" s="3" t="s">
        <v>30</v>
      </c>
      <c r="C120" s="3" t="s">
        <v>31</v>
      </c>
      <c r="D120" s="3">
        <v>73</v>
      </c>
    </row>
    <row r="121" spans="1:4" ht="15.75" customHeight="1" x14ac:dyDescent="0.25">
      <c r="A121" s="2">
        <v>45725</v>
      </c>
      <c r="B121" s="3" t="s">
        <v>102</v>
      </c>
      <c r="C121" s="3" t="s">
        <v>41</v>
      </c>
      <c r="D121" s="3">
        <v>104</v>
      </c>
    </row>
    <row r="122" spans="1:4" ht="15.75" customHeight="1" x14ac:dyDescent="0.25">
      <c r="A122" s="2">
        <v>45744</v>
      </c>
      <c r="B122" s="3" t="s">
        <v>53</v>
      </c>
      <c r="C122" s="3" t="s">
        <v>50</v>
      </c>
      <c r="D122" s="3">
        <v>67</v>
      </c>
    </row>
    <row r="123" spans="1:4" ht="15.75" customHeight="1" x14ac:dyDescent="0.25">
      <c r="A123" s="2">
        <v>45730</v>
      </c>
      <c r="B123" s="3" t="s">
        <v>72</v>
      </c>
      <c r="C123" s="3" t="s">
        <v>13</v>
      </c>
      <c r="D123" s="3">
        <v>135</v>
      </c>
    </row>
    <row r="124" spans="1:4" ht="15.75" customHeight="1" x14ac:dyDescent="0.25">
      <c r="A124" s="2">
        <v>45713</v>
      </c>
      <c r="B124" s="3" t="s">
        <v>97</v>
      </c>
      <c r="C124" s="3" t="s">
        <v>52</v>
      </c>
      <c r="D124" s="3">
        <v>7</v>
      </c>
    </row>
    <row r="125" spans="1:4" ht="15.75" customHeight="1" x14ac:dyDescent="0.25">
      <c r="A125" s="2">
        <v>45697</v>
      </c>
      <c r="B125" s="3" t="s">
        <v>9</v>
      </c>
      <c r="C125" s="3" t="s">
        <v>8</v>
      </c>
      <c r="D125" s="3">
        <v>109</v>
      </c>
    </row>
    <row r="126" spans="1:4" ht="15.75" customHeight="1" x14ac:dyDescent="0.25">
      <c r="A126" s="2">
        <v>45673</v>
      </c>
      <c r="B126" s="3" t="s">
        <v>67</v>
      </c>
      <c r="C126" s="3" t="s">
        <v>39</v>
      </c>
      <c r="D126" s="3">
        <v>66</v>
      </c>
    </row>
    <row r="127" spans="1:4" ht="15.75" customHeight="1" x14ac:dyDescent="0.25">
      <c r="A127" s="2">
        <v>45735</v>
      </c>
      <c r="B127" s="3" t="s">
        <v>61</v>
      </c>
      <c r="C127" s="3" t="s">
        <v>62</v>
      </c>
      <c r="D127" s="3">
        <v>67</v>
      </c>
    </row>
    <row r="128" spans="1:4" ht="15.75" customHeight="1" x14ac:dyDescent="0.25">
      <c r="A128" s="2">
        <v>45739</v>
      </c>
      <c r="B128" s="3" t="s">
        <v>103</v>
      </c>
      <c r="C128" s="3" t="s">
        <v>26</v>
      </c>
      <c r="D128" s="3">
        <v>24</v>
      </c>
    </row>
    <row r="129" spans="1:4" ht="15.75" customHeight="1" x14ac:dyDescent="0.25">
      <c r="A129" s="2">
        <v>45660</v>
      </c>
      <c r="B129" s="3" t="s">
        <v>71</v>
      </c>
      <c r="C129" s="3" t="s">
        <v>20</v>
      </c>
      <c r="D129" s="3">
        <v>120</v>
      </c>
    </row>
    <row r="130" spans="1:4" ht="15.75" customHeight="1" x14ac:dyDescent="0.25">
      <c r="A130" s="2">
        <v>45691</v>
      </c>
      <c r="B130" s="3" t="s">
        <v>104</v>
      </c>
      <c r="C130" s="3" t="s">
        <v>5</v>
      </c>
      <c r="D130" s="3">
        <v>123</v>
      </c>
    </row>
    <row r="131" spans="1:4" ht="15.75" customHeight="1" x14ac:dyDescent="0.25">
      <c r="A131" s="2">
        <v>45733</v>
      </c>
      <c r="B131" s="3" t="s">
        <v>105</v>
      </c>
      <c r="C131" s="3" t="s">
        <v>79</v>
      </c>
      <c r="D131" s="3">
        <v>45</v>
      </c>
    </row>
    <row r="132" spans="1:4" ht="15.75" customHeight="1" x14ac:dyDescent="0.25">
      <c r="A132" s="2">
        <v>45728</v>
      </c>
      <c r="B132" s="3" t="s">
        <v>32</v>
      </c>
      <c r="C132" s="3" t="s">
        <v>22</v>
      </c>
      <c r="D132" s="3">
        <v>74</v>
      </c>
    </row>
    <row r="133" spans="1:4" ht="15.75" customHeight="1" x14ac:dyDescent="0.25">
      <c r="A133" s="2">
        <v>45739</v>
      </c>
      <c r="B133" s="3" t="s">
        <v>106</v>
      </c>
      <c r="C133" s="3" t="s">
        <v>50</v>
      </c>
      <c r="D133" s="3">
        <v>111</v>
      </c>
    </row>
    <row r="134" spans="1:4" ht="15.75" customHeight="1" x14ac:dyDescent="0.25">
      <c r="A134" s="2">
        <v>45704</v>
      </c>
      <c r="B134" s="3" t="s">
        <v>58</v>
      </c>
      <c r="C134" s="3" t="s">
        <v>24</v>
      </c>
      <c r="D134" s="3">
        <v>44</v>
      </c>
    </row>
    <row r="135" spans="1:4" ht="15.75" customHeight="1" x14ac:dyDescent="0.25">
      <c r="A135" s="2">
        <v>45746</v>
      </c>
      <c r="B135" s="3" t="s">
        <v>107</v>
      </c>
      <c r="C135" s="3" t="s">
        <v>24</v>
      </c>
      <c r="D135" s="3">
        <v>49</v>
      </c>
    </row>
    <row r="136" spans="1:4" ht="15.75" customHeight="1" x14ac:dyDescent="0.25">
      <c r="A136" s="2">
        <v>45701</v>
      </c>
      <c r="B136" s="3" t="s">
        <v>9</v>
      </c>
      <c r="C136" s="3" t="s">
        <v>8</v>
      </c>
      <c r="D136" s="3">
        <v>66</v>
      </c>
    </row>
    <row r="137" spans="1:4" ht="15.75" customHeight="1" x14ac:dyDescent="0.25">
      <c r="A137" s="2">
        <v>45673</v>
      </c>
      <c r="B137" s="3" t="s">
        <v>108</v>
      </c>
      <c r="C137" s="3" t="s">
        <v>109</v>
      </c>
      <c r="D137" s="3">
        <v>11</v>
      </c>
    </row>
    <row r="138" spans="1:4" ht="15.75" customHeight="1" x14ac:dyDescent="0.25">
      <c r="A138" s="2">
        <v>45711</v>
      </c>
      <c r="B138" s="3" t="s">
        <v>88</v>
      </c>
      <c r="C138" s="3" t="s">
        <v>75</v>
      </c>
      <c r="D138" s="3">
        <v>83</v>
      </c>
    </row>
    <row r="139" spans="1:4" ht="15.75" customHeight="1" x14ac:dyDescent="0.25">
      <c r="A139" s="2">
        <v>45734</v>
      </c>
      <c r="B139" s="3" t="s">
        <v>69</v>
      </c>
      <c r="C139" s="3" t="s">
        <v>24</v>
      </c>
      <c r="D139" s="3">
        <v>144</v>
      </c>
    </row>
    <row r="140" spans="1:4" ht="15.75" customHeight="1" x14ac:dyDescent="0.25">
      <c r="A140" s="2">
        <v>45668</v>
      </c>
      <c r="B140" s="3" t="s">
        <v>102</v>
      </c>
      <c r="C140" s="3" t="s">
        <v>41</v>
      </c>
      <c r="D140" s="3">
        <v>78</v>
      </c>
    </row>
    <row r="141" spans="1:4" ht="15.75" customHeight="1" x14ac:dyDescent="0.25">
      <c r="A141" s="2">
        <v>45660</v>
      </c>
      <c r="B141" s="3" t="s">
        <v>58</v>
      </c>
      <c r="C141" s="3" t="s">
        <v>24</v>
      </c>
      <c r="D141" s="3">
        <v>87</v>
      </c>
    </row>
    <row r="142" spans="1:4" ht="15.75" customHeight="1" x14ac:dyDescent="0.25">
      <c r="A142" s="2">
        <v>45676</v>
      </c>
      <c r="B142" s="3" t="s">
        <v>27</v>
      </c>
      <c r="C142" s="3" t="s">
        <v>28</v>
      </c>
      <c r="D142" s="3">
        <v>17</v>
      </c>
    </row>
    <row r="143" spans="1:4" ht="15.75" customHeight="1" x14ac:dyDescent="0.25">
      <c r="A143" s="2">
        <v>45730</v>
      </c>
      <c r="B143" s="3" t="s">
        <v>34</v>
      </c>
      <c r="C143" s="3" t="s">
        <v>28</v>
      </c>
      <c r="D143" s="3">
        <v>69</v>
      </c>
    </row>
    <row r="144" spans="1:4" ht="15.75" customHeight="1" x14ac:dyDescent="0.25">
      <c r="A144" s="2">
        <v>45722</v>
      </c>
      <c r="B144" s="3" t="s">
        <v>110</v>
      </c>
      <c r="C144" s="3" t="s">
        <v>8</v>
      </c>
      <c r="D144" s="3">
        <v>137</v>
      </c>
    </row>
    <row r="145" spans="1:4" ht="15.75" customHeight="1" x14ac:dyDescent="0.25">
      <c r="A145" s="2">
        <v>45713</v>
      </c>
      <c r="B145" s="3" t="s">
        <v>111</v>
      </c>
      <c r="C145" s="3" t="s">
        <v>109</v>
      </c>
      <c r="D145" s="3">
        <v>114</v>
      </c>
    </row>
    <row r="146" spans="1:4" ht="15.75" customHeight="1" x14ac:dyDescent="0.25">
      <c r="A146" s="2">
        <v>45731</v>
      </c>
      <c r="B146" s="3" t="s">
        <v>64</v>
      </c>
      <c r="C146" s="3" t="s">
        <v>41</v>
      </c>
      <c r="D146" s="3">
        <v>24</v>
      </c>
    </row>
    <row r="147" spans="1:4" ht="15.75" customHeight="1" x14ac:dyDescent="0.25">
      <c r="A147" s="2">
        <v>45658</v>
      </c>
      <c r="B147" s="3" t="s">
        <v>73</v>
      </c>
      <c r="C147" s="3" t="s">
        <v>13</v>
      </c>
      <c r="D147" s="3">
        <v>69</v>
      </c>
    </row>
    <row r="148" spans="1:4" ht="15.75" customHeight="1" x14ac:dyDescent="0.25">
      <c r="A148" s="2">
        <v>45717</v>
      </c>
      <c r="B148" s="3" t="s">
        <v>46</v>
      </c>
      <c r="C148" s="3" t="s">
        <v>20</v>
      </c>
      <c r="D148" s="3">
        <v>38</v>
      </c>
    </row>
    <row r="149" spans="1:4" ht="15.75" customHeight="1" x14ac:dyDescent="0.25">
      <c r="A149" s="2">
        <v>45711</v>
      </c>
      <c r="B149" s="3" t="s">
        <v>21</v>
      </c>
      <c r="C149" s="3" t="s">
        <v>22</v>
      </c>
      <c r="D149" s="3">
        <v>112</v>
      </c>
    </row>
    <row r="150" spans="1:4" ht="15.75" customHeight="1" x14ac:dyDescent="0.25">
      <c r="A150" s="2">
        <v>45722</v>
      </c>
      <c r="B150" s="3" t="s">
        <v>77</v>
      </c>
      <c r="C150" s="3" t="s">
        <v>50</v>
      </c>
      <c r="D150" s="3">
        <v>113</v>
      </c>
    </row>
    <row r="151" spans="1:4" ht="15.75" customHeight="1" x14ac:dyDescent="0.25">
      <c r="A151" s="2">
        <v>45681</v>
      </c>
      <c r="B151" s="3" t="s">
        <v>112</v>
      </c>
      <c r="C151" s="3" t="s">
        <v>31</v>
      </c>
      <c r="D151" s="3">
        <v>78</v>
      </c>
    </row>
    <row r="152" spans="1:4" ht="15.75" customHeight="1" x14ac:dyDescent="0.25">
      <c r="A152" s="2">
        <v>45662</v>
      </c>
      <c r="B152" s="3" t="s">
        <v>110</v>
      </c>
      <c r="C152" s="3" t="s">
        <v>8</v>
      </c>
      <c r="D152" s="3">
        <v>76</v>
      </c>
    </row>
    <row r="153" spans="1:4" ht="15.75" customHeight="1" x14ac:dyDescent="0.25">
      <c r="A153" s="2">
        <v>45661</v>
      </c>
      <c r="B153" s="3" t="s">
        <v>113</v>
      </c>
      <c r="C153" s="3" t="s">
        <v>85</v>
      </c>
      <c r="D153" s="3">
        <v>33</v>
      </c>
    </row>
    <row r="154" spans="1:4" ht="15.75" customHeight="1" x14ac:dyDescent="0.25">
      <c r="A154" s="2">
        <v>45744</v>
      </c>
      <c r="B154" s="3" t="s">
        <v>74</v>
      </c>
      <c r="C154" s="3" t="s">
        <v>75</v>
      </c>
      <c r="D154" s="3">
        <v>27</v>
      </c>
    </row>
    <row r="155" spans="1:4" ht="15.75" customHeight="1" x14ac:dyDescent="0.25">
      <c r="A155" s="2">
        <v>45667</v>
      </c>
      <c r="B155" s="3" t="s">
        <v>101</v>
      </c>
      <c r="C155" s="3" t="s">
        <v>24</v>
      </c>
      <c r="D155" s="3">
        <v>112</v>
      </c>
    </row>
    <row r="156" spans="1:4" ht="15.75" customHeight="1" x14ac:dyDescent="0.25">
      <c r="A156" s="2">
        <v>45741</v>
      </c>
      <c r="B156" s="3" t="s">
        <v>18</v>
      </c>
      <c r="C156" s="3" t="s">
        <v>13</v>
      </c>
      <c r="D156" s="3">
        <v>48</v>
      </c>
    </row>
    <row r="157" spans="1:4" ht="15.75" customHeight="1" x14ac:dyDescent="0.25">
      <c r="A157" s="2">
        <v>45684</v>
      </c>
      <c r="B157" s="3" t="s">
        <v>51</v>
      </c>
      <c r="C157" s="3" t="s">
        <v>52</v>
      </c>
      <c r="D157" s="3">
        <v>38</v>
      </c>
    </row>
    <row r="158" spans="1:4" ht="15.75" customHeight="1" x14ac:dyDescent="0.25">
      <c r="A158" s="2">
        <v>45724</v>
      </c>
      <c r="B158" s="3" t="s">
        <v>30</v>
      </c>
      <c r="C158" s="3" t="s">
        <v>31</v>
      </c>
      <c r="D158" s="3">
        <v>50</v>
      </c>
    </row>
    <row r="159" spans="1:4" ht="15.75" customHeight="1" x14ac:dyDescent="0.25">
      <c r="A159" s="2">
        <v>45712</v>
      </c>
      <c r="B159" s="3" t="s">
        <v>68</v>
      </c>
      <c r="C159" s="3" t="s">
        <v>62</v>
      </c>
      <c r="D159" s="3">
        <v>54</v>
      </c>
    </row>
    <row r="160" spans="1:4" ht="15.75" customHeight="1" x14ac:dyDescent="0.25">
      <c r="A160" s="2">
        <v>45740</v>
      </c>
      <c r="B160" s="3" t="s">
        <v>56</v>
      </c>
      <c r="C160" s="3" t="s">
        <v>5</v>
      </c>
      <c r="D160" s="3">
        <v>7</v>
      </c>
    </row>
    <row r="161" spans="1:4" ht="15.75" customHeight="1" x14ac:dyDescent="0.25">
      <c r="A161" s="2">
        <v>45660</v>
      </c>
      <c r="B161" s="3" t="s">
        <v>114</v>
      </c>
      <c r="C161" s="3" t="s">
        <v>75</v>
      </c>
      <c r="D161" s="3">
        <v>122</v>
      </c>
    </row>
    <row r="162" spans="1:4" ht="15.75" customHeight="1" x14ac:dyDescent="0.25">
      <c r="A162" s="2">
        <v>45680</v>
      </c>
      <c r="B162" s="3" t="s">
        <v>115</v>
      </c>
      <c r="C162" s="3" t="s">
        <v>50</v>
      </c>
      <c r="D162" s="3">
        <v>141</v>
      </c>
    </row>
    <row r="163" spans="1:4" ht="15.75" customHeight="1" x14ac:dyDescent="0.25">
      <c r="A163" s="2">
        <v>45704</v>
      </c>
      <c r="B163" s="3" t="s">
        <v>116</v>
      </c>
      <c r="C163" s="3" t="s">
        <v>82</v>
      </c>
      <c r="D163" s="3">
        <v>107</v>
      </c>
    </row>
    <row r="164" spans="1:4" ht="15.75" customHeight="1" x14ac:dyDescent="0.25">
      <c r="A164" s="2">
        <v>45686</v>
      </c>
      <c r="B164" s="3" t="s">
        <v>96</v>
      </c>
      <c r="C164" s="3" t="s">
        <v>50</v>
      </c>
      <c r="D164" s="3">
        <v>16</v>
      </c>
    </row>
    <row r="165" spans="1:4" ht="15.75" customHeight="1" x14ac:dyDescent="0.25">
      <c r="A165" s="2">
        <v>45692</v>
      </c>
      <c r="B165" s="3" t="s">
        <v>105</v>
      </c>
      <c r="C165" s="3" t="s">
        <v>79</v>
      </c>
      <c r="D165" s="3">
        <v>40</v>
      </c>
    </row>
    <row r="166" spans="1:4" ht="15.75" customHeight="1" x14ac:dyDescent="0.25">
      <c r="A166" s="2">
        <v>45725</v>
      </c>
      <c r="B166" s="3" t="s">
        <v>51</v>
      </c>
      <c r="C166" s="3" t="s">
        <v>52</v>
      </c>
      <c r="D166" s="3">
        <v>40</v>
      </c>
    </row>
    <row r="167" spans="1:4" ht="15.75" customHeight="1" x14ac:dyDescent="0.25">
      <c r="A167" s="2">
        <v>45685</v>
      </c>
      <c r="B167" s="3" t="s">
        <v>42</v>
      </c>
      <c r="C167" s="3" t="s">
        <v>24</v>
      </c>
      <c r="D167" s="3">
        <v>45</v>
      </c>
    </row>
    <row r="168" spans="1:4" ht="15.75" customHeight="1" x14ac:dyDescent="0.25">
      <c r="A168" s="2">
        <v>45692</v>
      </c>
      <c r="B168" s="3" t="s">
        <v>89</v>
      </c>
      <c r="C168" s="3" t="s">
        <v>79</v>
      </c>
      <c r="D168" s="3">
        <v>101</v>
      </c>
    </row>
    <row r="169" spans="1:4" ht="15.75" customHeight="1" x14ac:dyDescent="0.25">
      <c r="A169" s="2">
        <v>45672</v>
      </c>
      <c r="B169" s="3" t="s">
        <v>45</v>
      </c>
      <c r="C169" s="3" t="s">
        <v>24</v>
      </c>
      <c r="D169" s="3">
        <v>2</v>
      </c>
    </row>
    <row r="170" spans="1:4" ht="15.75" customHeight="1" x14ac:dyDescent="0.25">
      <c r="A170" s="2">
        <v>45701</v>
      </c>
      <c r="B170" s="3" t="s">
        <v>30</v>
      </c>
      <c r="C170" s="3" t="s">
        <v>31</v>
      </c>
      <c r="D170" s="3">
        <v>141</v>
      </c>
    </row>
    <row r="171" spans="1:4" ht="15.75" customHeight="1" x14ac:dyDescent="0.25">
      <c r="A171" s="2">
        <v>45674</v>
      </c>
      <c r="B171" s="3" t="s">
        <v>81</v>
      </c>
      <c r="C171" s="3" t="s">
        <v>82</v>
      </c>
      <c r="D171" s="3">
        <v>79</v>
      </c>
    </row>
    <row r="172" spans="1:4" ht="15.75" customHeight="1" x14ac:dyDescent="0.25">
      <c r="A172" s="2">
        <v>45712</v>
      </c>
      <c r="B172" s="3" t="s">
        <v>117</v>
      </c>
      <c r="C172" s="3" t="s">
        <v>28</v>
      </c>
      <c r="D172" s="3">
        <v>36</v>
      </c>
    </row>
    <row r="173" spans="1:4" ht="15.75" customHeight="1" x14ac:dyDescent="0.25">
      <c r="A173" s="2">
        <v>45657</v>
      </c>
      <c r="B173" s="3" t="s">
        <v>18</v>
      </c>
      <c r="C173" s="3" t="s">
        <v>13</v>
      </c>
      <c r="D173" s="3">
        <v>96</v>
      </c>
    </row>
    <row r="174" spans="1:4" ht="15.75" customHeight="1" x14ac:dyDescent="0.25">
      <c r="A174" s="2">
        <v>45690</v>
      </c>
      <c r="B174" s="3" t="s">
        <v>68</v>
      </c>
      <c r="C174" s="3" t="s">
        <v>62</v>
      </c>
      <c r="D174" s="3">
        <v>16</v>
      </c>
    </row>
    <row r="175" spans="1:4" ht="15.75" customHeight="1" x14ac:dyDescent="0.25">
      <c r="A175" s="2">
        <v>45710</v>
      </c>
      <c r="B175" s="3" t="s">
        <v>51</v>
      </c>
      <c r="C175" s="3" t="s">
        <v>52</v>
      </c>
      <c r="D175" s="3">
        <v>36</v>
      </c>
    </row>
    <row r="176" spans="1:4" ht="15.75" customHeight="1" x14ac:dyDescent="0.25">
      <c r="A176" s="2">
        <v>45732</v>
      </c>
      <c r="B176" s="3" t="s">
        <v>71</v>
      </c>
      <c r="C176" s="3" t="s">
        <v>20</v>
      </c>
      <c r="D176" s="3">
        <v>97</v>
      </c>
    </row>
    <row r="177" spans="1:4" ht="15.75" customHeight="1" x14ac:dyDescent="0.25">
      <c r="A177" s="2">
        <v>45730</v>
      </c>
      <c r="B177" s="3" t="s">
        <v>110</v>
      </c>
      <c r="C177" s="3" t="s">
        <v>8</v>
      </c>
      <c r="D177" s="3">
        <v>124</v>
      </c>
    </row>
    <row r="178" spans="1:4" ht="15.75" customHeight="1" x14ac:dyDescent="0.25">
      <c r="A178" s="2">
        <v>45659</v>
      </c>
      <c r="B178" s="3" t="s">
        <v>118</v>
      </c>
      <c r="C178" s="3" t="s">
        <v>52</v>
      </c>
      <c r="D178" s="3">
        <v>17</v>
      </c>
    </row>
    <row r="179" spans="1:4" ht="15.75" customHeight="1" x14ac:dyDescent="0.25">
      <c r="A179" s="2">
        <v>45746</v>
      </c>
      <c r="B179" s="3" t="s">
        <v>64</v>
      </c>
      <c r="C179" s="3" t="s">
        <v>41</v>
      </c>
      <c r="D179" s="3">
        <v>125</v>
      </c>
    </row>
    <row r="180" spans="1:4" ht="15.75" customHeight="1" x14ac:dyDescent="0.25">
      <c r="A180" s="2">
        <v>45729</v>
      </c>
      <c r="B180" s="3" t="s">
        <v>103</v>
      </c>
      <c r="C180" s="3" t="s">
        <v>26</v>
      </c>
      <c r="D180" s="3">
        <v>138</v>
      </c>
    </row>
    <row r="181" spans="1:4" ht="15.75" customHeight="1" x14ac:dyDescent="0.25">
      <c r="A181" s="2">
        <v>45691</v>
      </c>
      <c r="B181" s="3" t="s">
        <v>43</v>
      </c>
      <c r="C181" s="3" t="s">
        <v>16</v>
      </c>
      <c r="D181" s="3">
        <v>41</v>
      </c>
    </row>
    <row r="182" spans="1:4" ht="15.75" customHeight="1" x14ac:dyDescent="0.25">
      <c r="A182" s="2">
        <v>45740</v>
      </c>
      <c r="B182" s="3" t="s">
        <v>36</v>
      </c>
      <c r="C182" s="3" t="s">
        <v>22</v>
      </c>
      <c r="D182" s="3">
        <v>59</v>
      </c>
    </row>
    <row r="183" spans="1:4" ht="15.75" customHeight="1" x14ac:dyDescent="0.25">
      <c r="A183" s="2">
        <v>45737</v>
      </c>
      <c r="B183" s="3" t="s">
        <v>77</v>
      </c>
      <c r="C183" s="3" t="s">
        <v>50</v>
      </c>
      <c r="D183" s="3">
        <v>101</v>
      </c>
    </row>
    <row r="184" spans="1:4" ht="15.75" customHeight="1" x14ac:dyDescent="0.25">
      <c r="A184" s="2">
        <v>45710</v>
      </c>
      <c r="B184" s="3" t="s">
        <v>108</v>
      </c>
      <c r="C184" s="3" t="s">
        <v>109</v>
      </c>
      <c r="D184" s="3">
        <v>6</v>
      </c>
    </row>
    <row r="185" spans="1:4" ht="15.75" customHeight="1" x14ac:dyDescent="0.25">
      <c r="A185" s="2">
        <v>45719</v>
      </c>
      <c r="B185" s="3" t="s">
        <v>90</v>
      </c>
      <c r="C185" s="3" t="s">
        <v>39</v>
      </c>
      <c r="D185" s="3">
        <v>18</v>
      </c>
    </row>
    <row r="186" spans="1:4" ht="15.75" customHeight="1" x14ac:dyDescent="0.25">
      <c r="A186" s="2">
        <v>45679</v>
      </c>
      <c r="B186" s="3" t="s">
        <v>43</v>
      </c>
      <c r="C186" s="3" t="s">
        <v>16</v>
      </c>
      <c r="D186" s="3">
        <v>130</v>
      </c>
    </row>
    <row r="187" spans="1:4" ht="15.75" customHeight="1" x14ac:dyDescent="0.25">
      <c r="A187" s="2">
        <v>45712</v>
      </c>
      <c r="B187" s="3" t="s">
        <v>77</v>
      </c>
      <c r="C187" s="3" t="s">
        <v>50</v>
      </c>
      <c r="D187" s="3">
        <v>61</v>
      </c>
    </row>
    <row r="188" spans="1:4" ht="15.75" customHeight="1" x14ac:dyDescent="0.25">
      <c r="A188" s="2">
        <v>45695</v>
      </c>
      <c r="B188" s="3" t="s">
        <v>63</v>
      </c>
      <c r="C188" s="3" t="s">
        <v>26</v>
      </c>
      <c r="D188" s="3">
        <v>108</v>
      </c>
    </row>
    <row r="189" spans="1:4" ht="15.75" customHeight="1" x14ac:dyDescent="0.25">
      <c r="A189" s="2">
        <v>45666</v>
      </c>
      <c r="B189" s="3" t="s">
        <v>105</v>
      </c>
      <c r="C189" s="3" t="s">
        <v>79</v>
      </c>
      <c r="D189" s="3">
        <v>142</v>
      </c>
    </row>
    <row r="190" spans="1:4" ht="15.75" customHeight="1" x14ac:dyDescent="0.25">
      <c r="A190" s="2">
        <v>45661</v>
      </c>
      <c r="B190" s="3" t="s">
        <v>21</v>
      </c>
      <c r="C190" s="3" t="s">
        <v>22</v>
      </c>
      <c r="D190" s="3">
        <v>116</v>
      </c>
    </row>
    <row r="191" spans="1:4" ht="15.75" customHeight="1" x14ac:dyDescent="0.25">
      <c r="A191" s="2">
        <v>45673</v>
      </c>
      <c r="B191" s="3" t="s">
        <v>38</v>
      </c>
      <c r="C191" s="3" t="s">
        <v>39</v>
      </c>
      <c r="D191" s="3">
        <v>148</v>
      </c>
    </row>
    <row r="192" spans="1:4" ht="15.75" customHeight="1" x14ac:dyDescent="0.25">
      <c r="A192" s="2">
        <v>45658</v>
      </c>
      <c r="B192" s="3" t="s">
        <v>44</v>
      </c>
      <c r="C192" s="3" t="s">
        <v>20</v>
      </c>
      <c r="D192" s="3">
        <v>82</v>
      </c>
    </row>
    <row r="193" spans="1:4" ht="15.75" customHeight="1" x14ac:dyDescent="0.25">
      <c r="A193" s="2">
        <v>45743</v>
      </c>
      <c r="B193" s="3" t="s">
        <v>114</v>
      </c>
      <c r="C193" s="3" t="s">
        <v>75</v>
      </c>
      <c r="D193" s="3">
        <v>118</v>
      </c>
    </row>
    <row r="194" spans="1:4" ht="15.75" customHeight="1" x14ac:dyDescent="0.25">
      <c r="A194" s="2">
        <v>45668</v>
      </c>
      <c r="B194" s="3" t="s">
        <v>97</v>
      </c>
      <c r="C194" s="3" t="s">
        <v>52</v>
      </c>
      <c r="D194" s="3">
        <v>122</v>
      </c>
    </row>
    <row r="195" spans="1:4" ht="15.75" customHeight="1" x14ac:dyDescent="0.25">
      <c r="A195" s="2">
        <v>45713</v>
      </c>
      <c r="B195" s="3" t="s">
        <v>119</v>
      </c>
      <c r="C195" s="3" t="s">
        <v>16</v>
      </c>
      <c r="D195" s="3">
        <v>112</v>
      </c>
    </row>
    <row r="196" spans="1:4" ht="15.75" customHeight="1" x14ac:dyDescent="0.25">
      <c r="A196" s="2">
        <v>45667</v>
      </c>
      <c r="B196" s="3" t="s">
        <v>87</v>
      </c>
      <c r="C196" s="3" t="s">
        <v>39</v>
      </c>
      <c r="D196" s="3">
        <v>64</v>
      </c>
    </row>
    <row r="197" spans="1:4" ht="15.75" customHeight="1" x14ac:dyDescent="0.25">
      <c r="A197" s="2">
        <v>45738</v>
      </c>
      <c r="B197" s="3" t="s">
        <v>35</v>
      </c>
      <c r="C197" s="3" t="s">
        <v>8</v>
      </c>
      <c r="D197" s="3">
        <v>150</v>
      </c>
    </row>
    <row r="198" spans="1:4" ht="15.75" customHeight="1" x14ac:dyDescent="0.25">
      <c r="A198" s="2">
        <v>45683</v>
      </c>
      <c r="B198" s="3" t="s">
        <v>63</v>
      </c>
      <c r="C198" s="3" t="s">
        <v>26</v>
      </c>
      <c r="D198" s="3">
        <v>55</v>
      </c>
    </row>
    <row r="199" spans="1:4" ht="15.75" customHeight="1" x14ac:dyDescent="0.25">
      <c r="A199" s="2">
        <v>45742</v>
      </c>
      <c r="B199" s="3" t="s">
        <v>23</v>
      </c>
      <c r="C199" s="3" t="s">
        <v>24</v>
      </c>
      <c r="D199" s="3">
        <v>74</v>
      </c>
    </row>
    <row r="200" spans="1:4" ht="15.75" customHeight="1" x14ac:dyDescent="0.25">
      <c r="A200" s="2">
        <v>45736</v>
      </c>
      <c r="B200" s="3" t="s">
        <v>32</v>
      </c>
      <c r="C200" s="3" t="s">
        <v>22</v>
      </c>
      <c r="D200" s="3">
        <v>95</v>
      </c>
    </row>
    <row r="201" spans="1:4" ht="15.75" customHeight="1" x14ac:dyDescent="0.25">
      <c r="A201" s="2">
        <v>45702</v>
      </c>
      <c r="B201" s="3" t="s">
        <v>45</v>
      </c>
      <c r="C201" s="3" t="s">
        <v>24</v>
      </c>
      <c r="D201" s="3">
        <v>69</v>
      </c>
    </row>
    <row r="202" spans="1:4" ht="15.75" customHeight="1" x14ac:dyDescent="0.25">
      <c r="A202" s="2">
        <v>45669</v>
      </c>
      <c r="B202" s="3" t="s">
        <v>10</v>
      </c>
      <c r="C202" s="3" t="s">
        <v>8</v>
      </c>
      <c r="D202" s="3">
        <v>94</v>
      </c>
    </row>
    <row r="203" spans="1:4" ht="15.75" customHeight="1" x14ac:dyDescent="0.25">
      <c r="A203" s="2">
        <v>45706</v>
      </c>
      <c r="B203" s="3" t="s">
        <v>99</v>
      </c>
      <c r="C203" s="3" t="s">
        <v>16</v>
      </c>
      <c r="D203" s="3">
        <v>74</v>
      </c>
    </row>
    <row r="204" spans="1:4" ht="15.75" customHeight="1" x14ac:dyDescent="0.25">
      <c r="A204" s="2">
        <v>45705</v>
      </c>
      <c r="B204" s="3" t="s">
        <v>120</v>
      </c>
      <c r="C204" s="3" t="s">
        <v>26</v>
      </c>
      <c r="D204" s="3">
        <v>148</v>
      </c>
    </row>
    <row r="205" spans="1:4" ht="15.75" customHeight="1" x14ac:dyDescent="0.25">
      <c r="A205" s="2">
        <v>45745</v>
      </c>
      <c r="B205" s="3" t="s">
        <v>7</v>
      </c>
      <c r="C205" s="3" t="s">
        <v>8</v>
      </c>
      <c r="D205" s="3">
        <v>25</v>
      </c>
    </row>
    <row r="206" spans="1:4" ht="15.75" customHeight="1" x14ac:dyDescent="0.25">
      <c r="A206" s="2">
        <v>45670</v>
      </c>
      <c r="B206" s="3" t="s">
        <v>121</v>
      </c>
      <c r="C206" s="3" t="s">
        <v>50</v>
      </c>
      <c r="D206" s="3">
        <v>45</v>
      </c>
    </row>
    <row r="207" spans="1:4" ht="15.75" customHeight="1" x14ac:dyDescent="0.25">
      <c r="A207" s="2">
        <v>45715</v>
      </c>
      <c r="B207" s="3" t="s">
        <v>73</v>
      </c>
      <c r="C207" s="3" t="s">
        <v>13</v>
      </c>
      <c r="D207" s="3">
        <v>140</v>
      </c>
    </row>
    <row r="208" spans="1:4" ht="15.75" customHeight="1" x14ac:dyDescent="0.25">
      <c r="A208" s="2">
        <v>45693</v>
      </c>
      <c r="B208" s="3" t="s">
        <v>116</v>
      </c>
      <c r="C208" s="3" t="s">
        <v>82</v>
      </c>
      <c r="D208" s="3">
        <v>62</v>
      </c>
    </row>
    <row r="209" spans="1:4" ht="15.75" customHeight="1" x14ac:dyDescent="0.25">
      <c r="A209" s="2">
        <v>45696</v>
      </c>
      <c r="B209" s="3" t="s">
        <v>122</v>
      </c>
      <c r="C209" s="3" t="s">
        <v>26</v>
      </c>
      <c r="D209" s="3">
        <v>70</v>
      </c>
    </row>
    <row r="210" spans="1:4" ht="15.75" customHeight="1" x14ac:dyDescent="0.25">
      <c r="A210" s="2">
        <v>45712</v>
      </c>
      <c r="B210" s="3" t="s">
        <v>102</v>
      </c>
      <c r="C210" s="3" t="s">
        <v>41</v>
      </c>
      <c r="D210" s="3">
        <v>1</v>
      </c>
    </row>
    <row r="211" spans="1:4" ht="15.75" customHeight="1" x14ac:dyDescent="0.25">
      <c r="A211" s="2">
        <v>45686</v>
      </c>
      <c r="B211" s="3" t="s">
        <v>6</v>
      </c>
      <c r="C211" s="3" t="s">
        <v>5</v>
      </c>
      <c r="D211" s="3">
        <v>81</v>
      </c>
    </row>
    <row r="212" spans="1:4" ht="15.75" customHeight="1" x14ac:dyDescent="0.25">
      <c r="A212" s="2">
        <v>45684</v>
      </c>
      <c r="B212" s="3" t="s">
        <v>123</v>
      </c>
      <c r="C212" s="3" t="s">
        <v>79</v>
      </c>
      <c r="D212" s="3">
        <v>98</v>
      </c>
    </row>
    <row r="213" spans="1:4" ht="15.75" customHeight="1" x14ac:dyDescent="0.25">
      <c r="A213" s="2">
        <v>45683</v>
      </c>
      <c r="B213" s="3" t="s">
        <v>110</v>
      </c>
      <c r="C213" s="3" t="s">
        <v>8</v>
      </c>
      <c r="D213" s="3">
        <v>98</v>
      </c>
    </row>
    <row r="214" spans="1:4" ht="15.75" customHeight="1" x14ac:dyDescent="0.25">
      <c r="A214" s="2">
        <v>45724</v>
      </c>
      <c r="B214" s="3" t="s">
        <v>18</v>
      </c>
      <c r="C214" s="3" t="s">
        <v>13</v>
      </c>
      <c r="D214" s="3">
        <v>14</v>
      </c>
    </row>
    <row r="215" spans="1:4" ht="15.75" customHeight="1" x14ac:dyDescent="0.25">
      <c r="A215" s="2">
        <v>45710</v>
      </c>
      <c r="B215" s="3" t="s">
        <v>124</v>
      </c>
      <c r="C215" s="3" t="s">
        <v>26</v>
      </c>
      <c r="D215" s="3">
        <v>16</v>
      </c>
    </row>
    <row r="216" spans="1:4" ht="15.75" customHeight="1" x14ac:dyDescent="0.25">
      <c r="A216" s="2">
        <v>45728</v>
      </c>
      <c r="B216" s="3" t="s">
        <v>88</v>
      </c>
      <c r="C216" s="3" t="s">
        <v>75</v>
      </c>
      <c r="D216" s="3">
        <v>42</v>
      </c>
    </row>
    <row r="217" spans="1:4" ht="15.75" customHeight="1" x14ac:dyDescent="0.25">
      <c r="A217" s="2">
        <v>45744</v>
      </c>
      <c r="B217" s="3" t="s">
        <v>6</v>
      </c>
      <c r="C217" s="3" t="s">
        <v>5</v>
      </c>
      <c r="D217" s="3">
        <v>15</v>
      </c>
    </row>
    <row r="218" spans="1:4" ht="15.75" customHeight="1" x14ac:dyDescent="0.25">
      <c r="A218" s="2">
        <v>45716</v>
      </c>
      <c r="B218" s="3" t="s">
        <v>92</v>
      </c>
      <c r="C218" s="3" t="s">
        <v>82</v>
      </c>
      <c r="D218" s="3">
        <v>88</v>
      </c>
    </row>
    <row r="219" spans="1:4" ht="15.75" customHeight="1" x14ac:dyDescent="0.25">
      <c r="A219" s="2">
        <v>45730</v>
      </c>
      <c r="B219" s="3" t="s">
        <v>55</v>
      </c>
      <c r="C219" s="3" t="s">
        <v>24</v>
      </c>
      <c r="D219" s="3">
        <v>26</v>
      </c>
    </row>
    <row r="220" spans="1:4" ht="15.75" customHeight="1" x14ac:dyDescent="0.25">
      <c r="A220" s="2">
        <v>45660</v>
      </c>
      <c r="B220" s="3" t="s">
        <v>104</v>
      </c>
      <c r="C220" s="3" t="s">
        <v>5</v>
      </c>
      <c r="D220" s="3">
        <v>140</v>
      </c>
    </row>
    <row r="221" spans="1:4" ht="15.75" customHeight="1" x14ac:dyDescent="0.25">
      <c r="A221" s="2">
        <v>45721</v>
      </c>
      <c r="B221" s="3" t="s">
        <v>125</v>
      </c>
      <c r="C221" s="3" t="s">
        <v>20</v>
      </c>
      <c r="D221" s="3">
        <v>74</v>
      </c>
    </row>
    <row r="222" spans="1:4" ht="15.75" customHeight="1" x14ac:dyDescent="0.25">
      <c r="A222" s="2">
        <v>45687</v>
      </c>
      <c r="B222" s="3" t="s">
        <v>115</v>
      </c>
      <c r="C222" s="3" t="s">
        <v>50</v>
      </c>
      <c r="D222" s="3">
        <v>55</v>
      </c>
    </row>
    <row r="223" spans="1:4" ht="15.75" customHeight="1" x14ac:dyDescent="0.25">
      <c r="A223" s="2">
        <v>45679</v>
      </c>
      <c r="B223" s="3" t="s">
        <v>84</v>
      </c>
      <c r="C223" s="3" t="s">
        <v>85</v>
      </c>
      <c r="D223" s="3">
        <v>42</v>
      </c>
    </row>
    <row r="224" spans="1:4" ht="15.75" customHeight="1" x14ac:dyDescent="0.25">
      <c r="A224" s="2">
        <v>45743</v>
      </c>
      <c r="B224" s="3" t="s">
        <v>15</v>
      </c>
      <c r="C224" s="3" t="s">
        <v>16</v>
      </c>
      <c r="D224" s="3">
        <v>33</v>
      </c>
    </row>
    <row r="225" spans="1:4" ht="15.75" customHeight="1" x14ac:dyDescent="0.25">
      <c r="A225" s="2">
        <v>45678</v>
      </c>
      <c r="B225" s="3" t="s">
        <v>35</v>
      </c>
      <c r="C225" s="3" t="s">
        <v>8</v>
      </c>
      <c r="D225" s="3">
        <v>122</v>
      </c>
    </row>
    <row r="226" spans="1:4" ht="15.75" customHeight="1" x14ac:dyDescent="0.25">
      <c r="A226" s="2">
        <v>45690</v>
      </c>
      <c r="B226" s="3" t="s">
        <v>101</v>
      </c>
      <c r="C226" s="3" t="s">
        <v>24</v>
      </c>
      <c r="D226" s="3">
        <v>33</v>
      </c>
    </row>
    <row r="227" spans="1:4" ht="15.75" customHeight="1" x14ac:dyDescent="0.25">
      <c r="A227" s="2">
        <v>45720</v>
      </c>
      <c r="B227" s="3" t="s">
        <v>71</v>
      </c>
      <c r="C227" s="3" t="s">
        <v>20</v>
      </c>
      <c r="D227" s="3">
        <v>139</v>
      </c>
    </row>
    <row r="228" spans="1:4" ht="15.75" customHeight="1" x14ac:dyDescent="0.25">
      <c r="A228" s="2">
        <v>45698</v>
      </c>
      <c r="B228" s="3" t="s">
        <v>126</v>
      </c>
      <c r="C228" s="3" t="s">
        <v>26</v>
      </c>
      <c r="D228" s="3">
        <v>26</v>
      </c>
    </row>
    <row r="229" spans="1:4" ht="15.75" customHeight="1" x14ac:dyDescent="0.25">
      <c r="A229" s="2">
        <v>45703</v>
      </c>
      <c r="B229" s="3" t="s">
        <v>127</v>
      </c>
      <c r="C229" s="3" t="s">
        <v>22</v>
      </c>
      <c r="D229" s="3">
        <v>68</v>
      </c>
    </row>
    <row r="230" spans="1:4" ht="15.75" customHeight="1" x14ac:dyDescent="0.25">
      <c r="A230" s="2">
        <v>45744</v>
      </c>
      <c r="B230" s="3" t="s">
        <v>55</v>
      </c>
      <c r="C230" s="3" t="s">
        <v>24</v>
      </c>
      <c r="D230" s="3">
        <v>118</v>
      </c>
    </row>
    <row r="231" spans="1:4" ht="15.75" customHeight="1" x14ac:dyDescent="0.25">
      <c r="A231" s="2">
        <v>45685</v>
      </c>
      <c r="B231" s="3" t="s">
        <v>128</v>
      </c>
      <c r="C231" s="3" t="s">
        <v>82</v>
      </c>
      <c r="D231" s="3">
        <v>55</v>
      </c>
    </row>
    <row r="232" spans="1:4" ht="15.75" customHeight="1" x14ac:dyDescent="0.25">
      <c r="A232" s="2">
        <v>45701</v>
      </c>
      <c r="B232" s="3" t="s">
        <v>91</v>
      </c>
      <c r="C232" s="3" t="s">
        <v>26</v>
      </c>
      <c r="D232" s="3">
        <v>27</v>
      </c>
    </row>
    <row r="233" spans="1:4" ht="15.75" customHeight="1" x14ac:dyDescent="0.25">
      <c r="A233" s="2">
        <v>45742</v>
      </c>
      <c r="B233" s="3" t="s">
        <v>66</v>
      </c>
      <c r="C233" s="3" t="s">
        <v>52</v>
      </c>
      <c r="D233" s="3">
        <v>141</v>
      </c>
    </row>
    <row r="234" spans="1:4" ht="15.75" customHeight="1" x14ac:dyDescent="0.25">
      <c r="A234" s="2">
        <v>45721</v>
      </c>
      <c r="B234" s="3" t="s">
        <v>17</v>
      </c>
      <c r="C234" s="3" t="s">
        <v>16</v>
      </c>
      <c r="D234" s="3">
        <v>20</v>
      </c>
    </row>
    <row r="235" spans="1:4" ht="15.75" customHeight="1" x14ac:dyDescent="0.25">
      <c r="A235" s="2">
        <v>45732</v>
      </c>
      <c r="B235" s="3" t="s">
        <v>112</v>
      </c>
      <c r="C235" s="3" t="s">
        <v>31</v>
      </c>
      <c r="D235" s="3">
        <v>97</v>
      </c>
    </row>
    <row r="236" spans="1:4" ht="15.75" customHeight="1" x14ac:dyDescent="0.25">
      <c r="A236" s="2">
        <v>45720</v>
      </c>
      <c r="B236" s="3" t="s">
        <v>6</v>
      </c>
      <c r="C236" s="3" t="s">
        <v>5</v>
      </c>
      <c r="D236" s="3">
        <v>17</v>
      </c>
    </row>
    <row r="237" spans="1:4" ht="15.75" customHeight="1" x14ac:dyDescent="0.25">
      <c r="A237" s="2">
        <v>45675</v>
      </c>
      <c r="B237" s="3" t="s">
        <v>129</v>
      </c>
      <c r="C237" s="3" t="s">
        <v>41</v>
      </c>
      <c r="D237" s="3">
        <v>124</v>
      </c>
    </row>
    <row r="238" spans="1:4" ht="15.75" customHeight="1" x14ac:dyDescent="0.25">
      <c r="A238" s="2">
        <v>45734</v>
      </c>
      <c r="B238" s="3" t="s">
        <v>11</v>
      </c>
      <c r="C238" s="3" t="s">
        <v>5</v>
      </c>
      <c r="D238" s="3">
        <v>51</v>
      </c>
    </row>
    <row r="239" spans="1:4" ht="15.75" customHeight="1" x14ac:dyDescent="0.25">
      <c r="A239" s="2">
        <v>45691</v>
      </c>
      <c r="B239" s="3" t="s">
        <v>113</v>
      </c>
      <c r="C239" s="3" t="s">
        <v>85</v>
      </c>
      <c r="D239" s="3">
        <v>45</v>
      </c>
    </row>
    <row r="240" spans="1:4" ht="15.75" customHeight="1" x14ac:dyDescent="0.25">
      <c r="A240" s="2">
        <v>45662</v>
      </c>
      <c r="B240" s="3" t="s">
        <v>115</v>
      </c>
      <c r="C240" s="3" t="s">
        <v>50</v>
      </c>
      <c r="D240" s="3">
        <v>24</v>
      </c>
    </row>
    <row r="241" spans="1:4" ht="15.75" customHeight="1" x14ac:dyDescent="0.25">
      <c r="A241" s="2">
        <v>45707</v>
      </c>
      <c r="B241" s="3" t="s">
        <v>125</v>
      </c>
      <c r="C241" s="3" t="s">
        <v>20</v>
      </c>
      <c r="D241" s="3">
        <v>97</v>
      </c>
    </row>
    <row r="242" spans="1:4" ht="15.75" customHeight="1" x14ac:dyDescent="0.25">
      <c r="A242" s="2">
        <v>45702</v>
      </c>
      <c r="B242" s="3" t="s">
        <v>86</v>
      </c>
      <c r="C242" s="3" t="s">
        <v>26</v>
      </c>
      <c r="D242" s="3">
        <v>19</v>
      </c>
    </row>
    <row r="243" spans="1:4" ht="15.75" customHeight="1" x14ac:dyDescent="0.25">
      <c r="A243" s="2">
        <v>45679</v>
      </c>
      <c r="B243" s="3" t="s">
        <v>87</v>
      </c>
      <c r="C243" s="3" t="s">
        <v>39</v>
      </c>
      <c r="D243" s="3">
        <v>10</v>
      </c>
    </row>
    <row r="244" spans="1:4" ht="15.75" customHeight="1" x14ac:dyDescent="0.25">
      <c r="A244" s="2">
        <v>45743</v>
      </c>
      <c r="B244" s="3" t="s">
        <v>83</v>
      </c>
      <c r="C244" s="3" t="s">
        <v>5</v>
      </c>
      <c r="D244" s="3">
        <v>88</v>
      </c>
    </row>
    <row r="245" spans="1:4" ht="15.75" customHeight="1" x14ac:dyDescent="0.25">
      <c r="A245" s="2">
        <v>45674</v>
      </c>
      <c r="B245" s="3" t="s">
        <v>49</v>
      </c>
      <c r="C245" s="3" t="s">
        <v>50</v>
      </c>
      <c r="D245" s="3">
        <v>6</v>
      </c>
    </row>
    <row r="246" spans="1:4" ht="15.75" customHeight="1" x14ac:dyDescent="0.25">
      <c r="A246" s="2">
        <v>45739</v>
      </c>
      <c r="B246" s="3" t="s">
        <v>60</v>
      </c>
      <c r="C246" s="3" t="s">
        <v>24</v>
      </c>
      <c r="D246" s="3">
        <v>146</v>
      </c>
    </row>
    <row r="247" spans="1:4" ht="15.75" customHeight="1" x14ac:dyDescent="0.25">
      <c r="A247" s="2">
        <v>45662</v>
      </c>
      <c r="B247" s="3" t="s">
        <v>45</v>
      </c>
      <c r="C247" s="3" t="s">
        <v>24</v>
      </c>
      <c r="D247" s="3">
        <v>116</v>
      </c>
    </row>
    <row r="248" spans="1:4" ht="15.75" customHeight="1" x14ac:dyDescent="0.25">
      <c r="A248" s="2">
        <v>45731</v>
      </c>
      <c r="B248" s="3" t="s">
        <v>130</v>
      </c>
      <c r="C248" s="3" t="s">
        <v>52</v>
      </c>
      <c r="D248" s="3">
        <v>17</v>
      </c>
    </row>
    <row r="249" spans="1:4" ht="15.75" customHeight="1" x14ac:dyDescent="0.25">
      <c r="A249" s="2">
        <v>45721</v>
      </c>
      <c r="B249" s="3" t="s">
        <v>98</v>
      </c>
      <c r="C249" s="3" t="s">
        <v>22</v>
      </c>
      <c r="D249" s="3">
        <v>16</v>
      </c>
    </row>
    <row r="250" spans="1:4" ht="15.75" customHeight="1" x14ac:dyDescent="0.25">
      <c r="A250" s="2">
        <v>45675</v>
      </c>
      <c r="B250" s="3" t="s">
        <v>84</v>
      </c>
      <c r="C250" s="3" t="s">
        <v>85</v>
      </c>
      <c r="D250" s="3">
        <v>48</v>
      </c>
    </row>
    <row r="251" spans="1:4" ht="15.75" customHeight="1" x14ac:dyDescent="0.25">
      <c r="A251" s="2">
        <v>45718</v>
      </c>
      <c r="B251" s="3" t="s">
        <v>103</v>
      </c>
      <c r="C251" s="3" t="s">
        <v>26</v>
      </c>
      <c r="D251" s="3">
        <v>91</v>
      </c>
    </row>
    <row r="252" spans="1:4" ht="15.75" customHeight="1" x14ac:dyDescent="0.25">
      <c r="A252" s="2">
        <v>45662</v>
      </c>
      <c r="B252" s="3" t="s">
        <v>93</v>
      </c>
      <c r="C252" s="3" t="s">
        <v>82</v>
      </c>
      <c r="D252" s="3">
        <v>137</v>
      </c>
    </row>
    <row r="253" spans="1:4" ht="15.75" customHeight="1" x14ac:dyDescent="0.25">
      <c r="A253" s="2">
        <v>45724</v>
      </c>
      <c r="B253" s="3" t="s">
        <v>71</v>
      </c>
      <c r="C253" s="3" t="s">
        <v>20</v>
      </c>
      <c r="D253" s="3">
        <v>140</v>
      </c>
    </row>
    <row r="254" spans="1:4" ht="15.75" customHeight="1" x14ac:dyDescent="0.25">
      <c r="A254" s="2">
        <v>45687</v>
      </c>
      <c r="B254" s="3" t="s">
        <v>69</v>
      </c>
      <c r="C254" s="3" t="s">
        <v>24</v>
      </c>
      <c r="D254" s="3">
        <v>41</v>
      </c>
    </row>
    <row r="255" spans="1:4" ht="15.75" customHeight="1" x14ac:dyDescent="0.25">
      <c r="A255" s="2">
        <v>45727</v>
      </c>
      <c r="B255" s="3" t="s">
        <v>51</v>
      </c>
      <c r="C255" s="3" t="s">
        <v>52</v>
      </c>
      <c r="D255" s="3">
        <v>94</v>
      </c>
    </row>
    <row r="256" spans="1:4" ht="15.75" customHeight="1" x14ac:dyDescent="0.25">
      <c r="A256" s="2">
        <v>45732</v>
      </c>
      <c r="B256" s="3" t="s">
        <v>108</v>
      </c>
      <c r="C256" s="3" t="s">
        <v>109</v>
      </c>
      <c r="D256" s="3">
        <v>66</v>
      </c>
    </row>
    <row r="257" spans="1:4" ht="15.75" customHeight="1" x14ac:dyDescent="0.25">
      <c r="A257" s="2">
        <v>45720</v>
      </c>
      <c r="B257" s="3" t="s">
        <v>88</v>
      </c>
      <c r="C257" s="3" t="s">
        <v>75</v>
      </c>
      <c r="D257" s="3">
        <v>118</v>
      </c>
    </row>
    <row r="258" spans="1:4" ht="15.75" customHeight="1" x14ac:dyDescent="0.25">
      <c r="A258" s="2">
        <v>45736</v>
      </c>
      <c r="B258" s="3" t="s">
        <v>44</v>
      </c>
      <c r="C258" s="3" t="s">
        <v>20</v>
      </c>
      <c r="D258" s="3">
        <v>140</v>
      </c>
    </row>
    <row r="259" spans="1:4" ht="15.75" customHeight="1" x14ac:dyDescent="0.25">
      <c r="A259" s="2">
        <v>45717</v>
      </c>
      <c r="B259" s="3" t="s">
        <v>34</v>
      </c>
      <c r="C259" s="3" t="s">
        <v>28</v>
      </c>
      <c r="D259" s="3">
        <v>70</v>
      </c>
    </row>
    <row r="260" spans="1:4" ht="15.75" customHeight="1" x14ac:dyDescent="0.25">
      <c r="A260" s="2">
        <v>45728</v>
      </c>
      <c r="B260" s="3" t="s">
        <v>123</v>
      </c>
      <c r="C260" s="3" t="s">
        <v>79</v>
      </c>
      <c r="D260" s="3">
        <v>10</v>
      </c>
    </row>
    <row r="261" spans="1:4" ht="15.75" customHeight="1" x14ac:dyDescent="0.25">
      <c r="A261" s="2">
        <v>45702</v>
      </c>
      <c r="B261" s="3" t="s">
        <v>27</v>
      </c>
      <c r="C261" s="3" t="s">
        <v>28</v>
      </c>
      <c r="D261" s="3">
        <v>40</v>
      </c>
    </row>
    <row r="262" spans="1:4" ht="15.75" customHeight="1" x14ac:dyDescent="0.25">
      <c r="A262" s="2">
        <v>45724</v>
      </c>
      <c r="B262" s="3" t="s">
        <v>51</v>
      </c>
      <c r="C262" s="3" t="s">
        <v>52</v>
      </c>
      <c r="D262" s="3">
        <v>4</v>
      </c>
    </row>
    <row r="263" spans="1:4" ht="15.75" customHeight="1" x14ac:dyDescent="0.25">
      <c r="A263" s="2">
        <v>45674</v>
      </c>
      <c r="B263" s="3" t="s">
        <v>121</v>
      </c>
      <c r="C263" s="3" t="s">
        <v>50</v>
      </c>
      <c r="D263" s="3">
        <v>64</v>
      </c>
    </row>
    <row r="264" spans="1:4" ht="15.75" customHeight="1" x14ac:dyDescent="0.25">
      <c r="A264" s="2">
        <v>45674</v>
      </c>
      <c r="B264" s="3" t="s">
        <v>116</v>
      </c>
      <c r="C264" s="3" t="s">
        <v>82</v>
      </c>
      <c r="D264" s="3">
        <v>114</v>
      </c>
    </row>
    <row r="265" spans="1:4" ht="15.75" customHeight="1" x14ac:dyDescent="0.25">
      <c r="A265" s="2">
        <v>45674</v>
      </c>
      <c r="B265" s="3" t="s">
        <v>91</v>
      </c>
      <c r="C265" s="3" t="s">
        <v>26</v>
      </c>
      <c r="D265" s="3">
        <v>22</v>
      </c>
    </row>
    <row r="266" spans="1:4" ht="15.75" customHeight="1" x14ac:dyDescent="0.25">
      <c r="A266" s="2">
        <v>45673</v>
      </c>
      <c r="B266" s="3" t="s">
        <v>106</v>
      </c>
      <c r="C266" s="3" t="s">
        <v>50</v>
      </c>
      <c r="D266" s="3">
        <v>144</v>
      </c>
    </row>
    <row r="267" spans="1:4" ht="15.75" customHeight="1" x14ac:dyDescent="0.25">
      <c r="A267" s="2">
        <v>45714</v>
      </c>
      <c r="B267" s="3" t="s">
        <v>122</v>
      </c>
      <c r="C267" s="3" t="s">
        <v>26</v>
      </c>
      <c r="D267" s="3">
        <v>68</v>
      </c>
    </row>
    <row r="268" spans="1:4" ht="15.75" customHeight="1" x14ac:dyDescent="0.25">
      <c r="A268" s="2">
        <v>45663</v>
      </c>
      <c r="B268" s="3" t="s">
        <v>120</v>
      </c>
      <c r="C268" s="3" t="s">
        <v>26</v>
      </c>
      <c r="D268" s="3">
        <v>84</v>
      </c>
    </row>
    <row r="269" spans="1:4" ht="15.75" customHeight="1" x14ac:dyDescent="0.25">
      <c r="A269" s="2">
        <v>45667</v>
      </c>
      <c r="B269" s="3" t="s">
        <v>64</v>
      </c>
      <c r="C269" s="3" t="s">
        <v>41</v>
      </c>
      <c r="D269" s="3">
        <v>73</v>
      </c>
    </row>
    <row r="270" spans="1:4" ht="15.75" customHeight="1" x14ac:dyDescent="0.25">
      <c r="A270" s="2">
        <v>45721</v>
      </c>
      <c r="B270" s="3" t="s">
        <v>105</v>
      </c>
      <c r="C270" s="3" t="s">
        <v>79</v>
      </c>
      <c r="D270" s="3">
        <v>56</v>
      </c>
    </row>
    <row r="271" spans="1:4" ht="15.75" customHeight="1" x14ac:dyDescent="0.25">
      <c r="A271" s="2">
        <v>45658</v>
      </c>
      <c r="B271" s="3" t="s">
        <v>65</v>
      </c>
      <c r="C271" s="3" t="s">
        <v>5</v>
      </c>
      <c r="D271" s="3">
        <v>115</v>
      </c>
    </row>
    <row r="272" spans="1:4" ht="15.75" customHeight="1" x14ac:dyDescent="0.25">
      <c r="A272" s="2">
        <v>45672</v>
      </c>
      <c r="B272" s="3" t="s">
        <v>126</v>
      </c>
      <c r="C272" s="3" t="s">
        <v>26</v>
      </c>
      <c r="D272" s="3">
        <v>140</v>
      </c>
    </row>
    <row r="273" spans="1:4" ht="15.75" customHeight="1" x14ac:dyDescent="0.25">
      <c r="A273" s="2">
        <v>45739</v>
      </c>
      <c r="B273" s="3" t="s">
        <v>115</v>
      </c>
      <c r="C273" s="3" t="s">
        <v>50</v>
      </c>
      <c r="D273" s="3">
        <v>102</v>
      </c>
    </row>
    <row r="274" spans="1:4" ht="15.75" customHeight="1" x14ac:dyDescent="0.25">
      <c r="A274" s="2">
        <v>45710</v>
      </c>
      <c r="B274" s="3" t="s">
        <v>131</v>
      </c>
      <c r="C274" s="3" t="s">
        <v>26</v>
      </c>
      <c r="D274" s="3">
        <v>14</v>
      </c>
    </row>
    <row r="275" spans="1:4" ht="15.75" customHeight="1" x14ac:dyDescent="0.25">
      <c r="A275" s="2">
        <v>45728</v>
      </c>
      <c r="B275" s="3" t="s">
        <v>66</v>
      </c>
      <c r="C275" s="3" t="s">
        <v>52</v>
      </c>
      <c r="D275" s="3">
        <v>44</v>
      </c>
    </row>
    <row r="276" spans="1:4" ht="15.75" customHeight="1" x14ac:dyDescent="0.25">
      <c r="A276" s="2">
        <v>45667</v>
      </c>
      <c r="B276" s="3" t="s">
        <v>116</v>
      </c>
      <c r="C276" s="3" t="s">
        <v>82</v>
      </c>
      <c r="D276" s="3">
        <v>103</v>
      </c>
    </row>
    <row r="277" spans="1:4" ht="15.75" customHeight="1" x14ac:dyDescent="0.25">
      <c r="A277" s="2">
        <v>45698</v>
      </c>
      <c r="B277" s="3" t="s">
        <v>128</v>
      </c>
      <c r="C277" s="3" t="s">
        <v>82</v>
      </c>
      <c r="D277" s="3">
        <v>130</v>
      </c>
    </row>
    <row r="278" spans="1:4" ht="15.75" customHeight="1" x14ac:dyDescent="0.25">
      <c r="A278" s="2">
        <v>45695</v>
      </c>
      <c r="B278" s="3" t="s">
        <v>96</v>
      </c>
      <c r="C278" s="3" t="s">
        <v>50</v>
      </c>
      <c r="D278" s="3">
        <v>115</v>
      </c>
    </row>
    <row r="279" spans="1:4" ht="15.75" customHeight="1" x14ac:dyDescent="0.25">
      <c r="A279" s="2">
        <v>45669</v>
      </c>
      <c r="B279" s="3" t="s">
        <v>46</v>
      </c>
      <c r="C279" s="3" t="s">
        <v>20</v>
      </c>
      <c r="D279" s="3">
        <v>61</v>
      </c>
    </row>
    <row r="280" spans="1:4" ht="15.75" customHeight="1" x14ac:dyDescent="0.25">
      <c r="A280" s="2">
        <v>45682</v>
      </c>
      <c r="B280" s="3" t="s">
        <v>132</v>
      </c>
      <c r="C280" s="3" t="s">
        <v>26</v>
      </c>
      <c r="D280" s="3">
        <v>44</v>
      </c>
    </row>
    <row r="281" spans="1:4" ht="15.75" customHeight="1" x14ac:dyDescent="0.25">
      <c r="A281" s="2">
        <v>45709</v>
      </c>
      <c r="B281" s="3" t="s">
        <v>102</v>
      </c>
      <c r="C281" s="3" t="s">
        <v>41</v>
      </c>
      <c r="D281" s="3">
        <v>20</v>
      </c>
    </row>
    <row r="282" spans="1:4" ht="15.75" customHeight="1" x14ac:dyDescent="0.25">
      <c r="A282" s="2">
        <v>45664</v>
      </c>
      <c r="B282" s="3" t="s">
        <v>58</v>
      </c>
      <c r="C282" s="3" t="s">
        <v>24</v>
      </c>
      <c r="D282" s="3">
        <v>147</v>
      </c>
    </row>
    <row r="283" spans="1:4" ht="15.75" customHeight="1" x14ac:dyDescent="0.25">
      <c r="A283" s="2">
        <v>45675</v>
      </c>
      <c r="B283" s="3" t="s">
        <v>132</v>
      </c>
      <c r="C283" s="3" t="s">
        <v>26</v>
      </c>
      <c r="D283" s="3">
        <v>63</v>
      </c>
    </row>
    <row r="284" spans="1:4" ht="15.75" customHeight="1" x14ac:dyDescent="0.25">
      <c r="A284" s="2">
        <v>45740</v>
      </c>
      <c r="B284" s="3" t="s">
        <v>23</v>
      </c>
      <c r="C284" s="3" t="s">
        <v>24</v>
      </c>
      <c r="D284" s="3">
        <v>31</v>
      </c>
    </row>
    <row r="285" spans="1:4" ht="15.75" customHeight="1" x14ac:dyDescent="0.25">
      <c r="A285" s="2">
        <v>45682</v>
      </c>
      <c r="B285" s="3" t="s">
        <v>116</v>
      </c>
      <c r="C285" s="3" t="s">
        <v>82</v>
      </c>
      <c r="D285" s="3">
        <v>78</v>
      </c>
    </row>
    <row r="286" spans="1:4" ht="15.75" customHeight="1" x14ac:dyDescent="0.25">
      <c r="A286" s="2">
        <v>45668</v>
      </c>
      <c r="B286" s="3" t="s">
        <v>23</v>
      </c>
      <c r="C286" s="3" t="s">
        <v>24</v>
      </c>
      <c r="D286" s="3">
        <v>9</v>
      </c>
    </row>
    <row r="287" spans="1:4" ht="15.75" customHeight="1" x14ac:dyDescent="0.25">
      <c r="A287" s="2">
        <v>45671</v>
      </c>
      <c r="B287" s="3" t="s">
        <v>133</v>
      </c>
      <c r="C287" s="3" t="s">
        <v>24</v>
      </c>
      <c r="D287" s="3">
        <v>11</v>
      </c>
    </row>
    <row r="288" spans="1:4" ht="15.75" customHeight="1" x14ac:dyDescent="0.25">
      <c r="A288" s="2">
        <v>45736</v>
      </c>
      <c r="B288" s="3" t="s">
        <v>69</v>
      </c>
      <c r="C288" s="3" t="s">
        <v>24</v>
      </c>
      <c r="D288" s="3">
        <v>103</v>
      </c>
    </row>
    <row r="289" spans="1:4" ht="15.75" customHeight="1" x14ac:dyDescent="0.25">
      <c r="A289" s="2">
        <v>45711</v>
      </c>
      <c r="B289" s="3" t="s">
        <v>10</v>
      </c>
      <c r="C289" s="3" t="s">
        <v>8</v>
      </c>
      <c r="D289" s="3">
        <v>45</v>
      </c>
    </row>
    <row r="290" spans="1:4" ht="15.75" customHeight="1" x14ac:dyDescent="0.25">
      <c r="A290" s="2">
        <v>45732</v>
      </c>
      <c r="B290" s="3" t="s">
        <v>101</v>
      </c>
      <c r="C290" s="3" t="s">
        <v>24</v>
      </c>
      <c r="D290" s="3">
        <v>38</v>
      </c>
    </row>
    <row r="291" spans="1:4" ht="15.75" customHeight="1" x14ac:dyDescent="0.25">
      <c r="A291" s="2">
        <v>45745</v>
      </c>
      <c r="B291" s="3" t="s">
        <v>18</v>
      </c>
      <c r="C291" s="3" t="s">
        <v>13</v>
      </c>
      <c r="D291" s="3">
        <v>73</v>
      </c>
    </row>
    <row r="292" spans="1:4" ht="15.75" customHeight="1" x14ac:dyDescent="0.25">
      <c r="A292" s="2">
        <v>45674</v>
      </c>
      <c r="B292" s="3" t="s">
        <v>33</v>
      </c>
      <c r="C292" s="3" t="s">
        <v>28</v>
      </c>
      <c r="D292" s="3">
        <v>140</v>
      </c>
    </row>
    <row r="293" spans="1:4" ht="15.75" customHeight="1" x14ac:dyDescent="0.25">
      <c r="A293" s="2">
        <v>45672</v>
      </c>
      <c r="B293" s="3" t="s">
        <v>87</v>
      </c>
      <c r="C293" s="3" t="s">
        <v>39</v>
      </c>
      <c r="D293" s="3">
        <v>45</v>
      </c>
    </row>
    <row r="294" spans="1:4" ht="15.75" customHeight="1" x14ac:dyDescent="0.25">
      <c r="A294" s="2">
        <v>45702</v>
      </c>
      <c r="B294" s="3" t="s">
        <v>71</v>
      </c>
      <c r="C294" s="3" t="s">
        <v>20</v>
      </c>
      <c r="D294" s="3">
        <v>126</v>
      </c>
    </row>
    <row r="295" spans="1:4" ht="15.75" customHeight="1" x14ac:dyDescent="0.25">
      <c r="A295" s="2">
        <v>45684</v>
      </c>
      <c r="B295" s="3" t="s">
        <v>64</v>
      </c>
      <c r="C295" s="3" t="s">
        <v>41</v>
      </c>
      <c r="D295" s="3">
        <v>31</v>
      </c>
    </row>
    <row r="296" spans="1:4" ht="15.75" customHeight="1" x14ac:dyDescent="0.25">
      <c r="A296" s="2">
        <v>45711</v>
      </c>
      <c r="B296" s="3" t="s">
        <v>127</v>
      </c>
      <c r="C296" s="3" t="s">
        <v>22</v>
      </c>
      <c r="D296" s="3">
        <v>27</v>
      </c>
    </row>
    <row r="297" spans="1:4" ht="15.75" customHeight="1" x14ac:dyDescent="0.25">
      <c r="A297" s="2">
        <v>45688</v>
      </c>
      <c r="B297" s="3" t="s">
        <v>48</v>
      </c>
      <c r="C297" s="3" t="s">
        <v>22</v>
      </c>
      <c r="D297" s="3">
        <v>104</v>
      </c>
    </row>
    <row r="298" spans="1:4" ht="15.75" customHeight="1" x14ac:dyDescent="0.25">
      <c r="A298" s="2">
        <v>45742</v>
      </c>
      <c r="B298" s="3" t="s">
        <v>69</v>
      </c>
      <c r="C298" s="3" t="s">
        <v>24</v>
      </c>
      <c r="D298" s="3">
        <v>24</v>
      </c>
    </row>
    <row r="299" spans="1:4" ht="15.75" customHeight="1" x14ac:dyDescent="0.25">
      <c r="A299" s="2">
        <v>45732</v>
      </c>
      <c r="B299" s="3" t="s">
        <v>36</v>
      </c>
      <c r="C299" s="3" t="s">
        <v>22</v>
      </c>
      <c r="D299" s="3">
        <v>28</v>
      </c>
    </row>
    <row r="300" spans="1:4" ht="15.75" customHeight="1" x14ac:dyDescent="0.25">
      <c r="A300" s="2">
        <v>45659</v>
      </c>
      <c r="B300" s="3" t="s">
        <v>134</v>
      </c>
      <c r="C300" s="3" t="s">
        <v>85</v>
      </c>
      <c r="D300" s="3">
        <v>18</v>
      </c>
    </row>
    <row r="301" spans="1:4" ht="15.75" customHeight="1" x14ac:dyDescent="0.25">
      <c r="A301" s="2">
        <v>45723</v>
      </c>
      <c r="B301" s="3" t="s">
        <v>126</v>
      </c>
      <c r="C301" s="3" t="s">
        <v>26</v>
      </c>
      <c r="D301" s="3">
        <v>112</v>
      </c>
    </row>
    <row r="302" spans="1:4" ht="15.75" customHeight="1" x14ac:dyDescent="0.25">
      <c r="A302" s="2">
        <v>45671</v>
      </c>
      <c r="B302" s="3" t="s">
        <v>134</v>
      </c>
      <c r="C302" s="3" t="s">
        <v>85</v>
      </c>
      <c r="D302" s="3">
        <v>48</v>
      </c>
    </row>
    <row r="303" spans="1:4" ht="15.75" customHeight="1" x14ac:dyDescent="0.25">
      <c r="A303" s="2">
        <v>45710</v>
      </c>
      <c r="B303" s="3" t="s">
        <v>61</v>
      </c>
      <c r="C303" s="3" t="s">
        <v>62</v>
      </c>
      <c r="D303" s="3">
        <v>132</v>
      </c>
    </row>
    <row r="304" spans="1:4" ht="15.75" customHeight="1" x14ac:dyDescent="0.25">
      <c r="A304" s="2">
        <v>45689</v>
      </c>
      <c r="B304" s="3" t="s">
        <v>63</v>
      </c>
      <c r="C304" s="3" t="s">
        <v>26</v>
      </c>
      <c r="D304" s="3">
        <v>125</v>
      </c>
    </row>
    <row r="305" spans="1:4" ht="15.75" customHeight="1" x14ac:dyDescent="0.25">
      <c r="A305" s="2">
        <v>45734</v>
      </c>
      <c r="B305" s="3" t="s">
        <v>25</v>
      </c>
      <c r="C305" s="3" t="s">
        <v>26</v>
      </c>
      <c r="D305" s="3">
        <v>145</v>
      </c>
    </row>
    <row r="306" spans="1:4" ht="15.75" customHeight="1" x14ac:dyDescent="0.25">
      <c r="A306" s="2">
        <v>45670</v>
      </c>
      <c r="B306" s="3" t="s">
        <v>67</v>
      </c>
      <c r="C306" s="3" t="s">
        <v>39</v>
      </c>
      <c r="D306" s="3">
        <v>74</v>
      </c>
    </row>
    <row r="307" spans="1:4" ht="15.75" customHeight="1" x14ac:dyDescent="0.25">
      <c r="A307" s="2">
        <v>45724</v>
      </c>
      <c r="B307" s="3" t="s">
        <v>35</v>
      </c>
      <c r="C307" s="3" t="s">
        <v>8</v>
      </c>
      <c r="D307" s="3">
        <v>48</v>
      </c>
    </row>
    <row r="308" spans="1:4" ht="15.75" customHeight="1" x14ac:dyDescent="0.25">
      <c r="A308" s="2">
        <v>45739</v>
      </c>
      <c r="B308" s="3" t="s">
        <v>63</v>
      </c>
      <c r="C308" s="3" t="s">
        <v>26</v>
      </c>
      <c r="D308" s="3">
        <v>64</v>
      </c>
    </row>
    <row r="309" spans="1:4" ht="15.75" customHeight="1" x14ac:dyDescent="0.25">
      <c r="A309" s="2">
        <v>45657</v>
      </c>
      <c r="B309" s="3" t="s">
        <v>131</v>
      </c>
      <c r="C309" s="3" t="s">
        <v>26</v>
      </c>
      <c r="D309" s="3">
        <v>15</v>
      </c>
    </row>
    <row r="310" spans="1:4" ht="15.75" customHeight="1" x14ac:dyDescent="0.25">
      <c r="A310" s="2">
        <v>45746</v>
      </c>
      <c r="B310" s="3" t="s">
        <v>135</v>
      </c>
      <c r="C310" s="3" t="s">
        <v>62</v>
      </c>
      <c r="D310" s="3">
        <v>109</v>
      </c>
    </row>
    <row r="311" spans="1:4" ht="15.75" customHeight="1" x14ac:dyDescent="0.25">
      <c r="A311" s="2">
        <v>45670</v>
      </c>
      <c r="B311" s="3" t="s">
        <v>119</v>
      </c>
      <c r="C311" s="3" t="s">
        <v>16</v>
      </c>
      <c r="D311" s="3">
        <v>38</v>
      </c>
    </row>
    <row r="312" spans="1:4" ht="15.75" customHeight="1" x14ac:dyDescent="0.25">
      <c r="A312" s="2">
        <v>45659</v>
      </c>
      <c r="B312" s="3" t="s">
        <v>17</v>
      </c>
      <c r="C312" s="3" t="s">
        <v>16</v>
      </c>
      <c r="D312" s="3">
        <v>143</v>
      </c>
    </row>
    <row r="313" spans="1:4" ht="15.75" customHeight="1" x14ac:dyDescent="0.25">
      <c r="A313" s="2">
        <v>45705</v>
      </c>
      <c r="B313" s="3" t="s">
        <v>94</v>
      </c>
      <c r="C313" s="3" t="s">
        <v>52</v>
      </c>
      <c r="D313" s="3">
        <v>96</v>
      </c>
    </row>
    <row r="314" spans="1:4" ht="15.75" customHeight="1" x14ac:dyDescent="0.25">
      <c r="A314" s="2">
        <v>45686</v>
      </c>
      <c r="B314" s="3" t="s">
        <v>71</v>
      </c>
      <c r="C314" s="3" t="s">
        <v>20</v>
      </c>
      <c r="D314" s="3">
        <v>136</v>
      </c>
    </row>
    <row r="315" spans="1:4" ht="15.75" customHeight="1" x14ac:dyDescent="0.25">
      <c r="A315" s="2">
        <v>45705</v>
      </c>
      <c r="B315" s="3" t="s">
        <v>100</v>
      </c>
      <c r="C315" s="3" t="s">
        <v>79</v>
      </c>
      <c r="D315" s="3">
        <v>74</v>
      </c>
    </row>
    <row r="316" spans="1:4" ht="15.75" customHeight="1" x14ac:dyDescent="0.25">
      <c r="A316" s="2">
        <v>45742</v>
      </c>
      <c r="B316" s="3" t="s">
        <v>30</v>
      </c>
      <c r="C316" s="3" t="s">
        <v>31</v>
      </c>
      <c r="D316" s="3">
        <v>143</v>
      </c>
    </row>
    <row r="317" spans="1:4" ht="15.75" customHeight="1" x14ac:dyDescent="0.25">
      <c r="A317" s="2">
        <v>45672</v>
      </c>
      <c r="B317" s="3" t="s">
        <v>128</v>
      </c>
      <c r="C317" s="3" t="s">
        <v>82</v>
      </c>
      <c r="D317" s="3">
        <v>38</v>
      </c>
    </row>
    <row r="318" spans="1:4" ht="15.75" customHeight="1" x14ac:dyDescent="0.25">
      <c r="A318" s="2">
        <v>45658</v>
      </c>
      <c r="B318" s="3" t="s">
        <v>61</v>
      </c>
      <c r="C318" s="3" t="s">
        <v>62</v>
      </c>
      <c r="D318" s="3">
        <v>117</v>
      </c>
    </row>
    <row r="319" spans="1:4" ht="15.75" customHeight="1" x14ac:dyDescent="0.25">
      <c r="A319" s="2">
        <v>45703</v>
      </c>
      <c r="B319" s="3" t="s">
        <v>136</v>
      </c>
      <c r="C319" s="3" t="s">
        <v>79</v>
      </c>
      <c r="D319" s="3">
        <v>144</v>
      </c>
    </row>
    <row r="320" spans="1:4" ht="15.75" customHeight="1" x14ac:dyDescent="0.25">
      <c r="A320" s="2">
        <v>45743</v>
      </c>
      <c r="B320" s="3" t="s">
        <v>44</v>
      </c>
      <c r="C320" s="3" t="s">
        <v>20</v>
      </c>
      <c r="D320" s="3">
        <v>78</v>
      </c>
    </row>
    <row r="321" spans="1:4" ht="15.75" customHeight="1" x14ac:dyDescent="0.25">
      <c r="A321" s="2">
        <v>45663</v>
      </c>
      <c r="B321" s="3" t="s">
        <v>126</v>
      </c>
      <c r="C321" s="3" t="s">
        <v>26</v>
      </c>
      <c r="D321" s="3">
        <v>124</v>
      </c>
    </row>
    <row r="322" spans="1:4" ht="15.75" customHeight="1" x14ac:dyDescent="0.25">
      <c r="A322" s="2">
        <v>45735</v>
      </c>
      <c r="B322" s="3" t="s">
        <v>35</v>
      </c>
      <c r="C322" s="3" t="s">
        <v>8</v>
      </c>
      <c r="D322" s="3">
        <v>146</v>
      </c>
    </row>
    <row r="323" spans="1:4" ht="15.75" customHeight="1" x14ac:dyDescent="0.25">
      <c r="A323" s="2">
        <v>45692</v>
      </c>
      <c r="B323" s="3" t="s">
        <v>137</v>
      </c>
      <c r="C323" s="3" t="s">
        <v>20</v>
      </c>
      <c r="D323" s="3">
        <v>83</v>
      </c>
    </row>
    <row r="324" spans="1:4" ht="15.75" customHeight="1" x14ac:dyDescent="0.25">
      <c r="A324" s="2">
        <v>45720</v>
      </c>
      <c r="B324" s="3" t="s">
        <v>14</v>
      </c>
      <c r="C324" s="3" t="s">
        <v>8</v>
      </c>
      <c r="D324" s="3">
        <v>69</v>
      </c>
    </row>
    <row r="325" spans="1:4" ht="15.75" customHeight="1" x14ac:dyDescent="0.25">
      <c r="A325" s="2">
        <v>45658</v>
      </c>
      <c r="B325" s="3" t="s">
        <v>89</v>
      </c>
      <c r="C325" s="3" t="s">
        <v>79</v>
      </c>
      <c r="D325" s="3">
        <v>136</v>
      </c>
    </row>
    <row r="326" spans="1:4" ht="15.75" customHeight="1" x14ac:dyDescent="0.25">
      <c r="A326" s="2">
        <v>45717</v>
      </c>
      <c r="B326" s="3" t="s">
        <v>38</v>
      </c>
      <c r="C326" s="3" t="s">
        <v>39</v>
      </c>
      <c r="D326" s="3">
        <v>19</v>
      </c>
    </row>
    <row r="327" spans="1:4" ht="15.75" customHeight="1" x14ac:dyDescent="0.25">
      <c r="A327" s="2">
        <v>45718</v>
      </c>
      <c r="B327" s="3" t="s">
        <v>42</v>
      </c>
      <c r="C327" s="3" t="s">
        <v>24</v>
      </c>
      <c r="D327" s="3">
        <v>97</v>
      </c>
    </row>
    <row r="328" spans="1:4" ht="15.75" customHeight="1" x14ac:dyDescent="0.25">
      <c r="A328" s="2">
        <v>45738</v>
      </c>
      <c r="B328" s="3" t="s">
        <v>103</v>
      </c>
      <c r="C328" s="3" t="s">
        <v>26</v>
      </c>
      <c r="D328" s="3">
        <v>52</v>
      </c>
    </row>
    <row r="329" spans="1:4" ht="15.75" customHeight="1" x14ac:dyDescent="0.25">
      <c r="A329" s="2">
        <v>45708</v>
      </c>
      <c r="B329" s="3" t="s">
        <v>78</v>
      </c>
      <c r="C329" s="3" t="s">
        <v>79</v>
      </c>
      <c r="D329" s="3">
        <v>96</v>
      </c>
    </row>
    <row r="330" spans="1:4" ht="15.75" customHeight="1" x14ac:dyDescent="0.25">
      <c r="A330" s="2">
        <v>45679</v>
      </c>
      <c r="B330" s="3" t="s">
        <v>30</v>
      </c>
      <c r="C330" s="3" t="s">
        <v>31</v>
      </c>
      <c r="D330" s="3">
        <v>18</v>
      </c>
    </row>
    <row r="331" spans="1:4" ht="15.75" customHeight="1" x14ac:dyDescent="0.25">
      <c r="A331" s="2">
        <v>45678</v>
      </c>
      <c r="B331" s="3" t="s">
        <v>105</v>
      </c>
      <c r="C331" s="3" t="s">
        <v>79</v>
      </c>
      <c r="D331" s="3">
        <v>140</v>
      </c>
    </row>
    <row r="332" spans="1:4" ht="15.75" customHeight="1" x14ac:dyDescent="0.25">
      <c r="A332" s="2">
        <v>45735</v>
      </c>
      <c r="B332" s="3" t="s">
        <v>32</v>
      </c>
      <c r="C332" s="3" t="s">
        <v>22</v>
      </c>
      <c r="D332" s="3">
        <v>2</v>
      </c>
    </row>
    <row r="333" spans="1:4" ht="15.75" customHeight="1" x14ac:dyDescent="0.25">
      <c r="A333" s="2">
        <v>45688</v>
      </c>
      <c r="B333" s="3" t="s">
        <v>51</v>
      </c>
      <c r="C333" s="3" t="s">
        <v>52</v>
      </c>
      <c r="D333" s="3">
        <v>137</v>
      </c>
    </row>
    <row r="334" spans="1:4" ht="15.75" customHeight="1" x14ac:dyDescent="0.25">
      <c r="A334" s="2">
        <v>45664</v>
      </c>
      <c r="B334" s="3" t="s">
        <v>46</v>
      </c>
      <c r="C334" s="3" t="s">
        <v>20</v>
      </c>
      <c r="D334" s="3">
        <v>140</v>
      </c>
    </row>
    <row r="335" spans="1:4" ht="15.75" customHeight="1" x14ac:dyDescent="0.25">
      <c r="A335" s="2">
        <v>45675</v>
      </c>
      <c r="B335" s="3" t="s">
        <v>69</v>
      </c>
      <c r="C335" s="3" t="s">
        <v>24</v>
      </c>
      <c r="D335" s="3">
        <v>38</v>
      </c>
    </row>
    <row r="336" spans="1:4" ht="15.75" customHeight="1" x14ac:dyDescent="0.25">
      <c r="A336" s="2">
        <v>45738</v>
      </c>
      <c r="B336" s="3" t="s">
        <v>93</v>
      </c>
      <c r="C336" s="3" t="s">
        <v>82</v>
      </c>
      <c r="D336" s="3">
        <v>143</v>
      </c>
    </row>
    <row r="337" spans="1:4" ht="15.75" customHeight="1" x14ac:dyDescent="0.25">
      <c r="A337" s="2">
        <v>45733</v>
      </c>
      <c r="B337" s="3" t="s">
        <v>138</v>
      </c>
      <c r="C337" s="3" t="s">
        <v>85</v>
      </c>
      <c r="D337" s="3">
        <v>62</v>
      </c>
    </row>
    <row r="338" spans="1:4" ht="15.75" customHeight="1" x14ac:dyDescent="0.25">
      <c r="A338" s="2">
        <v>45730</v>
      </c>
      <c r="B338" s="3" t="s">
        <v>137</v>
      </c>
      <c r="C338" s="3" t="s">
        <v>20</v>
      </c>
      <c r="D338" s="3">
        <v>142</v>
      </c>
    </row>
    <row r="339" spans="1:4" ht="15.75" customHeight="1" x14ac:dyDescent="0.25">
      <c r="A339" s="2">
        <v>45742</v>
      </c>
      <c r="B339" s="3" t="s">
        <v>135</v>
      </c>
      <c r="C339" s="3" t="s">
        <v>62</v>
      </c>
      <c r="D339" s="3">
        <v>72</v>
      </c>
    </row>
    <row r="340" spans="1:4" ht="15.75" customHeight="1" x14ac:dyDescent="0.25">
      <c r="A340" s="2">
        <v>45697</v>
      </c>
      <c r="B340" s="3" t="s">
        <v>44</v>
      </c>
      <c r="C340" s="3" t="s">
        <v>20</v>
      </c>
      <c r="D340" s="3">
        <v>36</v>
      </c>
    </row>
    <row r="341" spans="1:4" ht="15.75" customHeight="1" x14ac:dyDescent="0.25">
      <c r="A341" s="2">
        <v>45669</v>
      </c>
      <c r="B341" s="3" t="s">
        <v>43</v>
      </c>
      <c r="C341" s="3" t="s">
        <v>16</v>
      </c>
      <c r="D341" s="3">
        <v>115</v>
      </c>
    </row>
    <row r="342" spans="1:4" ht="15.75" customHeight="1" x14ac:dyDescent="0.25">
      <c r="A342" s="2">
        <v>45666</v>
      </c>
      <c r="B342" s="3" t="s">
        <v>87</v>
      </c>
      <c r="C342" s="3" t="s">
        <v>39</v>
      </c>
      <c r="D342" s="3">
        <v>111</v>
      </c>
    </row>
    <row r="343" spans="1:4" ht="15.75" customHeight="1" x14ac:dyDescent="0.25">
      <c r="A343" s="2">
        <v>45663</v>
      </c>
      <c r="B343" s="3" t="s">
        <v>81</v>
      </c>
      <c r="C343" s="3" t="s">
        <v>82</v>
      </c>
      <c r="D343" s="3">
        <v>45</v>
      </c>
    </row>
    <row r="344" spans="1:4" ht="15.75" customHeight="1" x14ac:dyDescent="0.25">
      <c r="A344" s="2">
        <v>45657</v>
      </c>
      <c r="B344" s="3" t="s">
        <v>100</v>
      </c>
      <c r="C344" s="3" t="s">
        <v>79</v>
      </c>
      <c r="D344" s="3">
        <v>32</v>
      </c>
    </row>
    <row r="345" spans="1:4" ht="15.75" customHeight="1" x14ac:dyDescent="0.25">
      <c r="A345" s="2">
        <v>45687</v>
      </c>
      <c r="B345" s="3" t="s">
        <v>116</v>
      </c>
      <c r="C345" s="3" t="s">
        <v>82</v>
      </c>
      <c r="D345" s="3">
        <v>140</v>
      </c>
    </row>
    <row r="346" spans="1:4" ht="15.75" customHeight="1" x14ac:dyDescent="0.25">
      <c r="A346" s="2">
        <v>45669</v>
      </c>
      <c r="B346" s="3" t="s">
        <v>67</v>
      </c>
      <c r="C346" s="3" t="s">
        <v>39</v>
      </c>
      <c r="D346" s="3">
        <v>66</v>
      </c>
    </row>
    <row r="347" spans="1:4" ht="15.75" customHeight="1" x14ac:dyDescent="0.25">
      <c r="A347" s="2">
        <v>45665</v>
      </c>
      <c r="B347" s="3" t="s">
        <v>108</v>
      </c>
      <c r="C347" s="3" t="s">
        <v>109</v>
      </c>
      <c r="D347" s="3">
        <v>118</v>
      </c>
    </row>
    <row r="348" spans="1:4" ht="15.75" customHeight="1" x14ac:dyDescent="0.25">
      <c r="A348" s="2">
        <v>45692</v>
      </c>
      <c r="B348" s="3" t="s">
        <v>91</v>
      </c>
      <c r="C348" s="3" t="s">
        <v>26</v>
      </c>
      <c r="D348" s="3">
        <v>87</v>
      </c>
    </row>
    <row r="349" spans="1:4" ht="15.75" customHeight="1" x14ac:dyDescent="0.25">
      <c r="A349" s="2">
        <v>45737</v>
      </c>
      <c r="B349" s="3" t="s">
        <v>80</v>
      </c>
      <c r="C349" s="3" t="s">
        <v>22</v>
      </c>
      <c r="D349" s="3">
        <v>34</v>
      </c>
    </row>
    <row r="350" spans="1:4" ht="15.75" customHeight="1" x14ac:dyDescent="0.25">
      <c r="A350" s="2">
        <v>45693</v>
      </c>
      <c r="B350" s="3" t="s">
        <v>63</v>
      </c>
      <c r="C350" s="3" t="s">
        <v>26</v>
      </c>
      <c r="D350" s="3">
        <v>64</v>
      </c>
    </row>
    <row r="351" spans="1:4" ht="15.75" customHeight="1" x14ac:dyDescent="0.25">
      <c r="A351" s="2">
        <v>45693</v>
      </c>
      <c r="B351" s="3" t="s">
        <v>129</v>
      </c>
      <c r="C351" s="3" t="s">
        <v>41</v>
      </c>
      <c r="D351" s="3">
        <v>30</v>
      </c>
    </row>
    <row r="352" spans="1:4" ht="15.75" customHeight="1" x14ac:dyDescent="0.25">
      <c r="A352" s="2">
        <v>45715</v>
      </c>
      <c r="B352" s="3" t="s">
        <v>136</v>
      </c>
      <c r="C352" s="3" t="s">
        <v>79</v>
      </c>
      <c r="D352" s="3">
        <v>139</v>
      </c>
    </row>
    <row r="353" spans="1:4" ht="15.75" customHeight="1" x14ac:dyDescent="0.25">
      <c r="A353" s="2">
        <v>45726</v>
      </c>
      <c r="B353" s="3" t="s">
        <v>25</v>
      </c>
      <c r="C353" s="3" t="s">
        <v>26</v>
      </c>
      <c r="D353" s="3">
        <v>89</v>
      </c>
    </row>
    <row r="354" spans="1:4" ht="15.75" customHeight="1" x14ac:dyDescent="0.25">
      <c r="A354" s="2">
        <v>45733</v>
      </c>
      <c r="B354" s="3" t="s">
        <v>134</v>
      </c>
      <c r="C354" s="3" t="s">
        <v>85</v>
      </c>
      <c r="D354" s="3">
        <v>84</v>
      </c>
    </row>
    <row r="355" spans="1:4" ht="15.75" customHeight="1" x14ac:dyDescent="0.25">
      <c r="A355" s="2">
        <v>45728</v>
      </c>
      <c r="B355" s="3" t="s">
        <v>11</v>
      </c>
      <c r="C355" s="3" t="s">
        <v>5</v>
      </c>
      <c r="D355" s="3">
        <v>75</v>
      </c>
    </row>
    <row r="356" spans="1:4" ht="15.75" customHeight="1" x14ac:dyDescent="0.25">
      <c r="A356" s="2">
        <v>45665</v>
      </c>
      <c r="B356" s="3" t="s">
        <v>83</v>
      </c>
      <c r="C356" s="3" t="s">
        <v>5</v>
      </c>
      <c r="D356" s="3">
        <v>77</v>
      </c>
    </row>
    <row r="357" spans="1:4" ht="15.75" customHeight="1" x14ac:dyDescent="0.25">
      <c r="A357" s="2">
        <v>45742</v>
      </c>
      <c r="B357" s="3" t="s">
        <v>111</v>
      </c>
      <c r="C357" s="3" t="s">
        <v>109</v>
      </c>
      <c r="D357" s="3">
        <v>79</v>
      </c>
    </row>
    <row r="358" spans="1:4" ht="15.75" customHeight="1" x14ac:dyDescent="0.25">
      <c r="A358" s="2">
        <v>45727</v>
      </c>
      <c r="B358" s="3" t="s">
        <v>139</v>
      </c>
      <c r="C358" s="3" t="s">
        <v>109</v>
      </c>
      <c r="D358" s="3">
        <v>113</v>
      </c>
    </row>
    <row r="359" spans="1:4" ht="15.75" customHeight="1" x14ac:dyDescent="0.25">
      <c r="A359" s="2">
        <v>45733</v>
      </c>
      <c r="B359" s="3" t="s">
        <v>139</v>
      </c>
      <c r="C359" s="3" t="s">
        <v>109</v>
      </c>
      <c r="D359" s="3">
        <v>16</v>
      </c>
    </row>
    <row r="360" spans="1:4" ht="15.75" customHeight="1" x14ac:dyDescent="0.25">
      <c r="A360" s="2">
        <v>45668</v>
      </c>
      <c r="B360" s="3" t="s">
        <v>37</v>
      </c>
      <c r="C360" s="3" t="s">
        <v>8</v>
      </c>
      <c r="D360" s="3">
        <v>121</v>
      </c>
    </row>
    <row r="361" spans="1:4" ht="15.75" customHeight="1" x14ac:dyDescent="0.25">
      <c r="A361" s="2">
        <v>45691</v>
      </c>
      <c r="B361" s="3" t="s">
        <v>124</v>
      </c>
      <c r="C361" s="3" t="s">
        <v>26</v>
      </c>
      <c r="D361" s="3">
        <v>104</v>
      </c>
    </row>
    <row r="362" spans="1:4" ht="15.75" customHeight="1" x14ac:dyDescent="0.25">
      <c r="A362" s="2">
        <v>45723</v>
      </c>
      <c r="B362" s="3" t="s">
        <v>99</v>
      </c>
      <c r="C362" s="3" t="s">
        <v>16</v>
      </c>
      <c r="D362" s="3">
        <v>136</v>
      </c>
    </row>
    <row r="363" spans="1:4" ht="15.75" customHeight="1" x14ac:dyDescent="0.25">
      <c r="A363" s="2">
        <v>45732</v>
      </c>
      <c r="B363" s="3" t="s">
        <v>96</v>
      </c>
      <c r="C363" s="3" t="s">
        <v>50</v>
      </c>
      <c r="D363" s="3">
        <v>80</v>
      </c>
    </row>
    <row r="364" spans="1:4" ht="15.75" customHeight="1" x14ac:dyDescent="0.25">
      <c r="A364" s="2">
        <v>45726</v>
      </c>
      <c r="B364" s="3" t="s">
        <v>63</v>
      </c>
      <c r="C364" s="3" t="s">
        <v>26</v>
      </c>
      <c r="D364" s="3">
        <v>140</v>
      </c>
    </row>
    <row r="365" spans="1:4" ht="15.75" customHeight="1" x14ac:dyDescent="0.25">
      <c r="A365" s="2">
        <v>45672</v>
      </c>
      <c r="B365" s="3" t="s">
        <v>107</v>
      </c>
      <c r="C365" s="3" t="s">
        <v>24</v>
      </c>
      <c r="D365" s="3">
        <v>18</v>
      </c>
    </row>
    <row r="366" spans="1:4" ht="15.75" customHeight="1" x14ac:dyDescent="0.25">
      <c r="A366" s="2">
        <v>45729</v>
      </c>
      <c r="B366" s="3" t="s">
        <v>113</v>
      </c>
      <c r="C366" s="3" t="s">
        <v>85</v>
      </c>
      <c r="D366" s="3">
        <v>148</v>
      </c>
    </row>
    <row r="367" spans="1:4" ht="15.75" customHeight="1" x14ac:dyDescent="0.25">
      <c r="A367" s="2">
        <v>45680</v>
      </c>
      <c r="B367" s="3" t="s">
        <v>118</v>
      </c>
      <c r="C367" s="3" t="s">
        <v>52</v>
      </c>
      <c r="D367" s="3">
        <v>56</v>
      </c>
    </row>
    <row r="368" spans="1:4" ht="15.75" customHeight="1" x14ac:dyDescent="0.25">
      <c r="A368" s="2">
        <v>45675</v>
      </c>
      <c r="B368" s="3" t="s">
        <v>105</v>
      </c>
      <c r="C368" s="3" t="s">
        <v>79</v>
      </c>
      <c r="D368" s="3">
        <v>147</v>
      </c>
    </row>
    <row r="369" spans="1:4" ht="15.75" customHeight="1" x14ac:dyDescent="0.25">
      <c r="A369" s="2">
        <v>45703</v>
      </c>
      <c r="B369" s="3" t="s">
        <v>43</v>
      </c>
      <c r="C369" s="3" t="s">
        <v>16</v>
      </c>
      <c r="D369" s="3">
        <v>27</v>
      </c>
    </row>
    <row r="370" spans="1:4" ht="15.75" customHeight="1" x14ac:dyDescent="0.25">
      <c r="A370" s="2">
        <v>45661</v>
      </c>
      <c r="B370" s="3" t="s">
        <v>73</v>
      </c>
      <c r="C370" s="3" t="s">
        <v>13</v>
      </c>
      <c r="D370" s="3">
        <v>91</v>
      </c>
    </row>
    <row r="371" spans="1:4" ht="15.75" customHeight="1" x14ac:dyDescent="0.25">
      <c r="A371" s="2">
        <v>45661</v>
      </c>
      <c r="B371" s="3" t="s">
        <v>95</v>
      </c>
      <c r="C371" s="3" t="s">
        <v>39</v>
      </c>
      <c r="D371" s="3">
        <v>104</v>
      </c>
    </row>
    <row r="372" spans="1:4" ht="15.75" customHeight="1" x14ac:dyDescent="0.25">
      <c r="A372" s="2">
        <v>45743</v>
      </c>
      <c r="B372" s="3" t="s">
        <v>114</v>
      </c>
      <c r="C372" s="3" t="s">
        <v>75</v>
      </c>
      <c r="D372" s="3">
        <v>69</v>
      </c>
    </row>
    <row r="373" spans="1:4" ht="15.75" customHeight="1" x14ac:dyDescent="0.25">
      <c r="A373" s="2">
        <v>45691</v>
      </c>
      <c r="B373" s="3" t="s">
        <v>61</v>
      </c>
      <c r="C373" s="3" t="s">
        <v>62</v>
      </c>
      <c r="D373" s="3">
        <v>84</v>
      </c>
    </row>
    <row r="374" spans="1:4" ht="15.75" customHeight="1" x14ac:dyDescent="0.25">
      <c r="A374" s="2">
        <v>45681</v>
      </c>
      <c r="B374" s="3" t="s">
        <v>29</v>
      </c>
      <c r="C374" s="3" t="s">
        <v>16</v>
      </c>
      <c r="D374" s="3">
        <v>108</v>
      </c>
    </row>
    <row r="375" spans="1:4" ht="15.75" customHeight="1" x14ac:dyDescent="0.25">
      <c r="A375" s="2">
        <v>45725</v>
      </c>
      <c r="B375" s="3" t="s">
        <v>64</v>
      </c>
      <c r="C375" s="3" t="s">
        <v>41</v>
      </c>
      <c r="D375" s="3">
        <v>44</v>
      </c>
    </row>
    <row r="376" spans="1:4" ht="15.75" customHeight="1" x14ac:dyDescent="0.25">
      <c r="A376" s="2">
        <v>45699</v>
      </c>
      <c r="B376" s="3" t="s">
        <v>11</v>
      </c>
      <c r="C376" s="3" t="s">
        <v>5</v>
      </c>
      <c r="D376" s="3">
        <v>78</v>
      </c>
    </row>
    <row r="377" spans="1:4" ht="15.75" customHeight="1" x14ac:dyDescent="0.25">
      <c r="A377" s="2">
        <v>45714</v>
      </c>
      <c r="B377" s="3" t="s">
        <v>48</v>
      </c>
      <c r="C377" s="3" t="s">
        <v>22</v>
      </c>
      <c r="D377" s="3">
        <v>147</v>
      </c>
    </row>
    <row r="378" spans="1:4" ht="15.75" customHeight="1" x14ac:dyDescent="0.25">
      <c r="A378" s="2">
        <v>45702</v>
      </c>
      <c r="B378" s="3" t="s">
        <v>74</v>
      </c>
      <c r="C378" s="3" t="s">
        <v>75</v>
      </c>
      <c r="D378" s="3">
        <v>135</v>
      </c>
    </row>
    <row r="379" spans="1:4" ht="15.75" customHeight="1" x14ac:dyDescent="0.25">
      <c r="A379" s="2">
        <v>45685</v>
      </c>
      <c r="B379" s="3" t="s">
        <v>19</v>
      </c>
      <c r="C379" s="3" t="s">
        <v>20</v>
      </c>
      <c r="D379" s="3">
        <v>124</v>
      </c>
    </row>
    <row r="380" spans="1:4" ht="15.75" customHeight="1" x14ac:dyDescent="0.25">
      <c r="A380" s="2">
        <v>45679</v>
      </c>
      <c r="B380" s="3" t="s">
        <v>130</v>
      </c>
      <c r="C380" s="3" t="s">
        <v>52</v>
      </c>
      <c r="D380" s="3">
        <v>63</v>
      </c>
    </row>
    <row r="381" spans="1:4" ht="15.75" customHeight="1" x14ac:dyDescent="0.25">
      <c r="A381" s="2">
        <v>45684</v>
      </c>
      <c r="B381" s="3" t="s">
        <v>129</v>
      </c>
      <c r="C381" s="3" t="s">
        <v>41</v>
      </c>
      <c r="D381" s="3">
        <v>68</v>
      </c>
    </row>
    <row r="382" spans="1:4" ht="15.75" customHeight="1" x14ac:dyDescent="0.25">
      <c r="A382" s="2">
        <v>45672</v>
      </c>
      <c r="B382" s="3" t="s">
        <v>113</v>
      </c>
      <c r="C382" s="3" t="s">
        <v>85</v>
      </c>
      <c r="D382" s="3">
        <v>43</v>
      </c>
    </row>
    <row r="383" spans="1:4" ht="15.75" customHeight="1" x14ac:dyDescent="0.25">
      <c r="A383" s="2">
        <v>45690</v>
      </c>
      <c r="B383" s="3" t="s">
        <v>49</v>
      </c>
      <c r="C383" s="3" t="s">
        <v>50</v>
      </c>
      <c r="D383" s="3">
        <v>150</v>
      </c>
    </row>
    <row r="384" spans="1:4" ht="15.75" customHeight="1" x14ac:dyDescent="0.25">
      <c r="A384" s="2">
        <v>45696</v>
      </c>
      <c r="B384" s="3" t="s">
        <v>112</v>
      </c>
      <c r="C384" s="3" t="s">
        <v>31</v>
      </c>
      <c r="D384" s="3">
        <v>22</v>
      </c>
    </row>
    <row r="385" spans="1:4" ht="15.75" customHeight="1" x14ac:dyDescent="0.25">
      <c r="A385" s="2">
        <v>45669</v>
      </c>
      <c r="B385" s="3" t="s">
        <v>9</v>
      </c>
      <c r="C385" s="3" t="s">
        <v>8</v>
      </c>
      <c r="D385" s="3">
        <v>104</v>
      </c>
    </row>
    <row r="386" spans="1:4" ht="15.75" customHeight="1" x14ac:dyDescent="0.25">
      <c r="A386" s="2">
        <v>45658</v>
      </c>
      <c r="B386" s="3" t="s">
        <v>47</v>
      </c>
      <c r="C386" s="3" t="s">
        <v>22</v>
      </c>
      <c r="D386" s="3">
        <v>51</v>
      </c>
    </row>
    <row r="387" spans="1:4" ht="15.75" customHeight="1" x14ac:dyDescent="0.25">
      <c r="A387" s="2">
        <v>45727</v>
      </c>
      <c r="B387" s="3" t="s">
        <v>117</v>
      </c>
      <c r="C387" s="3" t="s">
        <v>28</v>
      </c>
      <c r="D387" s="3">
        <v>138</v>
      </c>
    </row>
    <row r="388" spans="1:4" ht="15.75" customHeight="1" x14ac:dyDescent="0.25">
      <c r="A388" s="2">
        <v>45743</v>
      </c>
      <c r="B388" s="3" t="s">
        <v>114</v>
      </c>
      <c r="C388" s="3" t="s">
        <v>75</v>
      </c>
      <c r="D388" s="3">
        <v>104</v>
      </c>
    </row>
    <row r="389" spans="1:4" ht="15.75" customHeight="1" x14ac:dyDescent="0.25">
      <c r="A389" s="2">
        <v>45700</v>
      </c>
      <c r="B389" s="3" t="s">
        <v>99</v>
      </c>
      <c r="C389" s="3" t="s">
        <v>16</v>
      </c>
      <c r="D389" s="3">
        <v>78</v>
      </c>
    </row>
    <row r="390" spans="1:4" ht="15.75" customHeight="1" x14ac:dyDescent="0.25">
      <c r="A390" s="2">
        <v>45697</v>
      </c>
      <c r="B390" s="3" t="s">
        <v>132</v>
      </c>
      <c r="C390" s="3" t="s">
        <v>26</v>
      </c>
      <c r="D390" s="3">
        <v>91</v>
      </c>
    </row>
    <row r="391" spans="1:4" ht="15.75" customHeight="1" x14ac:dyDescent="0.25">
      <c r="A391" s="2">
        <v>45685</v>
      </c>
      <c r="B391" s="3" t="s">
        <v>51</v>
      </c>
      <c r="C391" s="3" t="s">
        <v>52</v>
      </c>
      <c r="D391" s="3">
        <v>86</v>
      </c>
    </row>
    <row r="392" spans="1:4" ht="15.75" customHeight="1" x14ac:dyDescent="0.25">
      <c r="A392" s="2">
        <v>45671</v>
      </c>
      <c r="B392" s="3" t="s">
        <v>132</v>
      </c>
      <c r="C392" s="3" t="s">
        <v>26</v>
      </c>
      <c r="D392" s="3">
        <v>139</v>
      </c>
    </row>
    <row r="393" spans="1:4" ht="15.75" customHeight="1" x14ac:dyDescent="0.25">
      <c r="A393" s="2">
        <v>45740</v>
      </c>
      <c r="B393" s="3" t="s">
        <v>74</v>
      </c>
      <c r="C393" s="3" t="s">
        <v>75</v>
      </c>
      <c r="D393" s="3">
        <v>67</v>
      </c>
    </row>
    <row r="394" spans="1:4" ht="15.75" customHeight="1" x14ac:dyDescent="0.25">
      <c r="A394" s="2">
        <v>45742</v>
      </c>
      <c r="B394" s="3" t="s">
        <v>127</v>
      </c>
      <c r="C394" s="3" t="s">
        <v>22</v>
      </c>
      <c r="D394" s="3">
        <v>123</v>
      </c>
    </row>
    <row r="395" spans="1:4" ht="15.75" customHeight="1" x14ac:dyDescent="0.25">
      <c r="A395" s="2">
        <v>45720</v>
      </c>
      <c r="B395" s="3" t="s">
        <v>57</v>
      </c>
      <c r="C395" s="3" t="s">
        <v>8</v>
      </c>
      <c r="D395" s="3">
        <v>47</v>
      </c>
    </row>
    <row r="396" spans="1:4" ht="15.75" customHeight="1" x14ac:dyDescent="0.25">
      <c r="A396" s="2">
        <v>45687</v>
      </c>
      <c r="B396" s="3" t="s">
        <v>93</v>
      </c>
      <c r="C396" s="3" t="s">
        <v>82</v>
      </c>
      <c r="D396" s="3">
        <v>135</v>
      </c>
    </row>
    <row r="397" spans="1:4" ht="15.75" customHeight="1" x14ac:dyDescent="0.25">
      <c r="A397" s="2">
        <v>45669</v>
      </c>
      <c r="B397" s="3" t="s">
        <v>25</v>
      </c>
      <c r="C397" s="3" t="s">
        <v>26</v>
      </c>
      <c r="D397" s="3">
        <v>114</v>
      </c>
    </row>
    <row r="398" spans="1:4" ht="15.75" customHeight="1" x14ac:dyDescent="0.25">
      <c r="A398" s="2">
        <v>45697</v>
      </c>
      <c r="B398" s="3" t="s">
        <v>134</v>
      </c>
      <c r="C398" s="3" t="s">
        <v>85</v>
      </c>
      <c r="D398" s="3">
        <v>94</v>
      </c>
    </row>
    <row r="399" spans="1:4" ht="15.75" customHeight="1" x14ac:dyDescent="0.25">
      <c r="A399" s="2">
        <v>45745</v>
      </c>
      <c r="B399" s="3" t="s">
        <v>88</v>
      </c>
      <c r="C399" s="3" t="s">
        <v>75</v>
      </c>
      <c r="D399" s="3">
        <v>16</v>
      </c>
    </row>
    <row r="400" spans="1:4" ht="15.75" customHeight="1" x14ac:dyDescent="0.25">
      <c r="A400" s="2">
        <v>45697</v>
      </c>
      <c r="B400" s="3" t="s">
        <v>121</v>
      </c>
      <c r="C400" s="3" t="s">
        <v>50</v>
      </c>
      <c r="D400" s="3">
        <v>116</v>
      </c>
    </row>
    <row r="401" spans="1:4" ht="15.75" customHeight="1" x14ac:dyDescent="0.25">
      <c r="A401" s="2">
        <v>45714</v>
      </c>
      <c r="B401" s="3" t="s">
        <v>59</v>
      </c>
      <c r="C401" s="3" t="s">
        <v>16</v>
      </c>
      <c r="D401" s="3">
        <v>17</v>
      </c>
    </row>
    <row r="402" spans="1:4" ht="15.75" customHeight="1" x14ac:dyDescent="0.25">
      <c r="A402" s="2">
        <v>45723</v>
      </c>
      <c r="B402" s="3" t="s">
        <v>138</v>
      </c>
      <c r="C402" s="3" t="s">
        <v>85</v>
      </c>
      <c r="D402" s="3">
        <v>69</v>
      </c>
    </row>
    <row r="403" spans="1:4" ht="15.75" customHeight="1" x14ac:dyDescent="0.25">
      <c r="A403" s="2">
        <v>45745</v>
      </c>
      <c r="B403" s="3" t="s">
        <v>123</v>
      </c>
      <c r="C403" s="3" t="s">
        <v>79</v>
      </c>
      <c r="D403" s="3">
        <v>82</v>
      </c>
    </row>
    <row r="404" spans="1:4" ht="15.75" customHeight="1" x14ac:dyDescent="0.25">
      <c r="A404" s="2">
        <v>45713</v>
      </c>
      <c r="B404" s="3" t="s">
        <v>87</v>
      </c>
      <c r="C404" s="3" t="s">
        <v>39</v>
      </c>
      <c r="D404" s="3">
        <v>111</v>
      </c>
    </row>
    <row r="405" spans="1:4" ht="15.75" customHeight="1" x14ac:dyDescent="0.25">
      <c r="A405" s="2">
        <v>45731</v>
      </c>
      <c r="B405" s="3" t="s">
        <v>110</v>
      </c>
      <c r="C405" s="3" t="s">
        <v>8</v>
      </c>
      <c r="D405" s="3">
        <v>142</v>
      </c>
    </row>
    <row r="406" spans="1:4" ht="15.75" customHeight="1" x14ac:dyDescent="0.25">
      <c r="A406" s="2">
        <v>45738</v>
      </c>
      <c r="B406" s="3" t="s">
        <v>116</v>
      </c>
      <c r="C406" s="3" t="s">
        <v>82</v>
      </c>
      <c r="D406" s="3">
        <v>111</v>
      </c>
    </row>
    <row r="407" spans="1:4" ht="15.75" customHeight="1" x14ac:dyDescent="0.25">
      <c r="A407" s="2">
        <v>45708</v>
      </c>
      <c r="B407" s="3" t="s">
        <v>4</v>
      </c>
      <c r="C407" s="3" t="s">
        <v>5</v>
      </c>
      <c r="D407" s="3">
        <v>73</v>
      </c>
    </row>
    <row r="408" spans="1:4" ht="15.75" customHeight="1" x14ac:dyDescent="0.25">
      <c r="A408" s="2">
        <v>45690</v>
      </c>
      <c r="B408" s="3" t="s">
        <v>61</v>
      </c>
      <c r="C408" s="3" t="s">
        <v>62</v>
      </c>
      <c r="D408" s="3">
        <v>117</v>
      </c>
    </row>
    <row r="409" spans="1:4" ht="15.75" customHeight="1" x14ac:dyDescent="0.25">
      <c r="A409" s="2">
        <v>45731</v>
      </c>
      <c r="B409" s="3" t="s">
        <v>106</v>
      </c>
      <c r="C409" s="3" t="s">
        <v>50</v>
      </c>
      <c r="D409" s="3">
        <v>42</v>
      </c>
    </row>
    <row r="410" spans="1:4" ht="15.75" customHeight="1" x14ac:dyDescent="0.25">
      <c r="A410" s="2">
        <v>45714</v>
      </c>
      <c r="B410" s="3" t="s">
        <v>47</v>
      </c>
      <c r="C410" s="3" t="s">
        <v>22</v>
      </c>
      <c r="D410" s="3">
        <v>83</v>
      </c>
    </row>
    <row r="411" spans="1:4" ht="15.75" customHeight="1" x14ac:dyDescent="0.25">
      <c r="A411" s="2">
        <v>45738</v>
      </c>
      <c r="B411" s="3" t="s">
        <v>12</v>
      </c>
      <c r="C411" s="3" t="s">
        <v>13</v>
      </c>
      <c r="D411" s="3">
        <v>100</v>
      </c>
    </row>
    <row r="412" spans="1:4" ht="15.75" customHeight="1" x14ac:dyDescent="0.25">
      <c r="A412" s="2">
        <v>45693</v>
      </c>
      <c r="B412" s="3" t="s">
        <v>131</v>
      </c>
      <c r="C412" s="3" t="s">
        <v>26</v>
      </c>
      <c r="D412" s="3">
        <v>139</v>
      </c>
    </row>
    <row r="413" spans="1:4" ht="15.75" customHeight="1" x14ac:dyDescent="0.25">
      <c r="A413" s="2">
        <v>45746</v>
      </c>
      <c r="B413" s="3" t="s">
        <v>97</v>
      </c>
      <c r="C413" s="3" t="s">
        <v>52</v>
      </c>
      <c r="D413" s="3">
        <v>64</v>
      </c>
    </row>
    <row r="414" spans="1:4" ht="15.75" customHeight="1" x14ac:dyDescent="0.25">
      <c r="A414" s="2">
        <v>45693</v>
      </c>
      <c r="B414" s="3" t="s">
        <v>124</v>
      </c>
      <c r="C414" s="3" t="s">
        <v>26</v>
      </c>
      <c r="D414" s="3">
        <v>102</v>
      </c>
    </row>
    <row r="415" spans="1:4" ht="15.75" customHeight="1" x14ac:dyDescent="0.25">
      <c r="A415" s="2">
        <v>45713</v>
      </c>
      <c r="B415" s="3" t="s">
        <v>15</v>
      </c>
      <c r="C415" s="3" t="s">
        <v>16</v>
      </c>
      <c r="D415" s="3">
        <v>33</v>
      </c>
    </row>
    <row r="416" spans="1:4" ht="15.75" customHeight="1" x14ac:dyDescent="0.25">
      <c r="A416" s="2">
        <v>45738</v>
      </c>
      <c r="B416" s="3" t="s">
        <v>87</v>
      </c>
      <c r="C416" s="3" t="s">
        <v>39</v>
      </c>
      <c r="D416" s="3">
        <v>76</v>
      </c>
    </row>
    <row r="417" spans="1:4" ht="15.75" customHeight="1" x14ac:dyDescent="0.25">
      <c r="A417" s="2">
        <v>45673</v>
      </c>
      <c r="B417" s="3" t="s">
        <v>47</v>
      </c>
      <c r="C417" s="3" t="s">
        <v>22</v>
      </c>
      <c r="D417" s="3">
        <v>52</v>
      </c>
    </row>
    <row r="418" spans="1:4" ht="15.75" customHeight="1" x14ac:dyDescent="0.25">
      <c r="A418" s="2">
        <v>45736</v>
      </c>
      <c r="B418" s="3" t="s">
        <v>140</v>
      </c>
      <c r="C418" s="3" t="s">
        <v>85</v>
      </c>
      <c r="D418" s="3">
        <v>8</v>
      </c>
    </row>
    <row r="419" spans="1:4" ht="15.75" customHeight="1" x14ac:dyDescent="0.25">
      <c r="A419" s="2">
        <v>45722</v>
      </c>
      <c r="B419" s="3" t="s">
        <v>6</v>
      </c>
      <c r="C419" s="3" t="s">
        <v>5</v>
      </c>
      <c r="D419" s="3">
        <v>88</v>
      </c>
    </row>
    <row r="420" spans="1:4" ht="15.75" customHeight="1" x14ac:dyDescent="0.25">
      <c r="A420" s="2">
        <v>45679</v>
      </c>
      <c r="B420" s="3" t="s">
        <v>101</v>
      </c>
      <c r="C420" s="3" t="s">
        <v>24</v>
      </c>
      <c r="D420" s="3">
        <v>109</v>
      </c>
    </row>
    <row r="421" spans="1:4" ht="15.75" customHeight="1" x14ac:dyDescent="0.25">
      <c r="A421" s="2">
        <v>45697</v>
      </c>
      <c r="B421" s="3" t="s">
        <v>119</v>
      </c>
      <c r="C421" s="3" t="s">
        <v>16</v>
      </c>
      <c r="D421" s="3">
        <v>134</v>
      </c>
    </row>
    <row r="422" spans="1:4" ht="15.75" customHeight="1" x14ac:dyDescent="0.25">
      <c r="A422" s="2">
        <v>45659</v>
      </c>
      <c r="B422" s="3" t="s">
        <v>25</v>
      </c>
      <c r="C422" s="3" t="s">
        <v>26</v>
      </c>
      <c r="D422" s="3">
        <v>103</v>
      </c>
    </row>
    <row r="423" spans="1:4" ht="15.75" customHeight="1" x14ac:dyDescent="0.25">
      <c r="A423" s="2">
        <v>45680</v>
      </c>
      <c r="B423" s="3" t="s">
        <v>42</v>
      </c>
      <c r="C423" s="3" t="s">
        <v>24</v>
      </c>
      <c r="D423" s="3">
        <v>135</v>
      </c>
    </row>
    <row r="424" spans="1:4" ht="15.75" customHeight="1" x14ac:dyDescent="0.25">
      <c r="A424" s="2">
        <v>45687</v>
      </c>
      <c r="B424" s="3" t="s">
        <v>91</v>
      </c>
      <c r="C424" s="3" t="s">
        <v>26</v>
      </c>
      <c r="D424" s="3">
        <v>59</v>
      </c>
    </row>
    <row r="425" spans="1:4" ht="15.75" customHeight="1" x14ac:dyDescent="0.25">
      <c r="A425" s="2">
        <v>45691</v>
      </c>
      <c r="B425" s="3" t="s">
        <v>84</v>
      </c>
      <c r="C425" s="3" t="s">
        <v>85</v>
      </c>
      <c r="D425" s="3">
        <v>23</v>
      </c>
    </row>
    <row r="426" spans="1:4" ht="15.75" customHeight="1" x14ac:dyDescent="0.25">
      <c r="A426" s="2">
        <v>45658</v>
      </c>
      <c r="B426" s="3" t="s">
        <v>37</v>
      </c>
      <c r="C426" s="3" t="s">
        <v>8</v>
      </c>
      <c r="D426" s="3">
        <v>75</v>
      </c>
    </row>
    <row r="427" spans="1:4" ht="15.75" customHeight="1" x14ac:dyDescent="0.25">
      <c r="A427" s="2">
        <v>45744</v>
      </c>
      <c r="B427" s="3" t="s">
        <v>14</v>
      </c>
      <c r="C427" s="3" t="s">
        <v>8</v>
      </c>
      <c r="D427" s="3">
        <v>37</v>
      </c>
    </row>
    <row r="428" spans="1:4" ht="15.75" customHeight="1" x14ac:dyDescent="0.25">
      <c r="A428" s="2">
        <v>45697</v>
      </c>
      <c r="B428" s="3" t="s">
        <v>122</v>
      </c>
      <c r="C428" s="3" t="s">
        <v>26</v>
      </c>
      <c r="D428" s="3">
        <v>130</v>
      </c>
    </row>
    <row r="429" spans="1:4" ht="15.75" customHeight="1" x14ac:dyDescent="0.25">
      <c r="A429" s="2">
        <v>45675</v>
      </c>
      <c r="B429" s="3" t="s">
        <v>96</v>
      </c>
      <c r="C429" s="3" t="s">
        <v>50</v>
      </c>
      <c r="D429" s="3">
        <v>150</v>
      </c>
    </row>
    <row r="430" spans="1:4" ht="15.75" customHeight="1" x14ac:dyDescent="0.25">
      <c r="A430" s="2">
        <v>45664</v>
      </c>
      <c r="B430" s="3" t="s">
        <v>7</v>
      </c>
      <c r="C430" s="3" t="s">
        <v>8</v>
      </c>
      <c r="D430" s="3">
        <v>108</v>
      </c>
    </row>
    <row r="431" spans="1:4" ht="15.75" customHeight="1" x14ac:dyDescent="0.25">
      <c r="A431" s="2">
        <v>45676</v>
      </c>
      <c r="B431" s="3" t="s">
        <v>6</v>
      </c>
      <c r="C431" s="3" t="s">
        <v>5</v>
      </c>
      <c r="D431" s="3">
        <v>69</v>
      </c>
    </row>
    <row r="432" spans="1:4" ht="15.75" customHeight="1" x14ac:dyDescent="0.25">
      <c r="A432" s="2">
        <v>45734</v>
      </c>
      <c r="B432" s="3" t="s">
        <v>108</v>
      </c>
      <c r="C432" s="3" t="s">
        <v>109</v>
      </c>
      <c r="D432" s="3">
        <v>103</v>
      </c>
    </row>
    <row r="433" spans="1:4" ht="15.75" customHeight="1" x14ac:dyDescent="0.25">
      <c r="A433" s="2">
        <v>45695</v>
      </c>
      <c r="B433" s="3" t="s">
        <v>87</v>
      </c>
      <c r="C433" s="3" t="s">
        <v>39</v>
      </c>
      <c r="D433" s="3">
        <v>143</v>
      </c>
    </row>
    <row r="434" spans="1:4" ht="15.75" customHeight="1" x14ac:dyDescent="0.25">
      <c r="A434" s="2">
        <v>45737</v>
      </c>
      <c r="B434" s="3" t="s">
        <v>47</v>
      </c>
      <c r="C434" s="3" t="s">
        <v>22</v>
      </c>
      <c r="D434" s="3">
        <v>145</v>
      </c>
    </row>
    <row r="435" spans="1:4" ht="15.75" customHeight="1" x14ac:dyDescent="0.25">
      <c r="A435" s="2">
        <v>45712</v>
      </c>
      <c r="B435" s="3" t="s">
        <v>128</v>
      </c>
      <c r="C435" s="3" t="s">
        <v>82</v>
      </c>
      <c r="D435" s="3">
        <v>34</v>
      </c>
    </row>
    <row r="436" spans="1:4" ht="15.75" customHeight="1" x14ac:dyDescent="0.25">
      <c r="A436" s="2">
        <v>45743</v>
      </c>
      <c r="B436" s="3" t="s">
        <v>137</v>
      </c>
      <c r="C436" s="3" t="s">
        <v>20</v>
      </c>
      <c r="D436" s="3">
        <v>103</v>
      </c>
    </row>
    <row r="437" spans="1:4" ht="15.75" customHeight="1" x14ac:dyDescent="0.25">
      <c r="A437" s="2">
        <v>45730</v>
      </c>
      <c r="B437" s="3" t="s">
        <v>66</v>
      </c>
      <c r="C437" s="3" t="s">
        <v>52</v>
      </c>
      <c r="D437" s="3">
        <v>118</v>
      </c>
    </row>
    <row r="438" spans="1:4" ht="15.75" customHeight="1" x14ac:dyDescent="0.25">
      <c r="A438" s="2">
        <v>45691</v>
      </c>
      <c r="B438" s="3" t="s">
        <v>64</v>
      </c>
      <c r="C438" s="3" t="s">
        <v>41</v>
      </c>
      <c r="D438" s="3">
        <v>29</v>
      </c>
    </row>
    <row r="439" spans="1:4" ht="15.75" customHeight="1" x14ac:dyDescent="0.25">
      <c r="A439" s="2">
        <v>45688</v>
      </c>
      <c r="B439" s="3" t="s">
        <v>4</v>
      </c>
      <c r="C439" s="3" t="s">
        <v>5</v>
      </c>
      <c r="D439" s="3">
        <v>80</v>
      </c>
    </row>
    <row r="440" spans="1:4" ht="15.75" customHeight="1" x14ac:dyDescent="0.25">
      <c r="A440" s="2">
        <v>45684</v>
      </c>
      <c r="B440" s="3" t="s">
        <v>113</v>
      </c>
      <c r="C440" s="3" t="s">
        <v>85</v>
      </c>
      <c r="D440" s="3">
        <v>91</v>
      </c>
    </row>
    <row r="441" spans="1:4" ht="15.75" customHeight="1" x14ac:dyDescent="0.25">
      <c r="A441" s="2">
        <v>45693</v>
      </c>
      <c r="B441" s="3" t="s">
        <v>57</v>
      </c>
      <c r="C441" s="3" t="s">
        <v>8</v>
      </c>
      <c r="D441" s="3">
        <v>87</v>
      </c>
    </row>
    <row r="442" spans="1:4" ht="15.75" customHeight="1" x14ac:dyDescent="0.25">
      <c r="A442" s="2">
        <v>45722</v>
      </c>
      <c r="B442" s="3" t="s">
        <v>70</v>
      </c>
      <c r="C442" s="3" t="s">
        <v>52</v>
      </c>
      <c r="D442" s="3">
        <v>4</v>
      </c>
    </row>
    <row r="443" spans="1:4" ht="15.75" customHeight="1" x14ac:dyDescent="0.25">
      <c r="A443" s="2">
        <v>45699</v>
      </c>
      <c r="B443" s="3" t="s">
        <v>66</v>
      </c>
      <c r="C443" s="3" t="s">
        <v>52</v>
      </c>
      <c r="D443" s="3">
        <v>121</v>
      </c>
    </row>
    <row r="444" spans="1:4" ht="15.75" customHeight="1" x14ac:dyDescent="0.25">
      <c r="A444" s="2">
        <v>45666</v>
      </c>
      <c r="B444" s="3" t="s">
        <v>86</v>
      </c>
      <c r="C444" s="3" t="s">
        <v>26</v>
      </c>
      <c r="D444" s="3">
        <v>9</v>
      </c>
    </row>
    <row r="445" spans="1:4" ht="15.75" customHeight="1" x14ac:dyDescent="0.25">
      <c r="A445" s="2">
        <v>45715</v>
      </c>
      <c r="B445" s="3" t="s">
        <v>58</v>
      </c>
      <c r="C445" s="3" t="s">
        <v>24</v>
      </c>
      <c r="D445" s="3">
        <v>149</v>
      </c>
    </row>
    <row r="446" spans="1:4" ht="15.75" customHeight="1" x14ac:dyDescent="0.25">
      <c r="A446" s="2">
        <v>45672</v>
      </c>
      <c r="B446" s="3" t="s">
        <v>35</v>
      </c>
      <c r="C446" s="3" t="s">
        <v>8</v>
      </c>
      <c r="D446" s="3">
        <v>125</v>
      </c>
    </row>
    <row r="447" spans="1:4" ht="15.75" customHeight="1" x14ac:dyDescent="0.25">
      <c r="A447" s="2">
        <v>45720</v>
      </c>
      <c r="B447" s="3" t="s">
        <v>92</v>
      </c>
      <c r="C447" s="3" t="s">
        <v>82</v>
      </c>
      <c r="D447" s="3">
        <v>145</v>
      </c>
    </row>
    <row r="448" spans="1:4" ht="15.75" customHeight="1" x14ac:dyDescent="0.25">
      <c r="A448" s="2">
        <v>45664</v>
      </c>
      <c r="B448" s="3" t="s">
        <v>12</v>
      </c>
      <c r="C448" s="3" t="s">
        <v>13</v>
      </c>
      <c r="D448" s="3">
        <v>99</v>
      </c>
    </row>
    <row r="449" spans="1:4" ht="15.75" customHeight="1" x14ac:dyDescent="0.25">
      <c r="A449" s="2">
        <v>45725</v>
      </c>
      <c r="B449" s="3" t="s">
        <v>7</v>
      </c>
      <c r="C449" s="3" t="s">
        <v>8</v>
      </c>
      <c r="D449" s="3">
        <v>68</v>
      </c>
    </row>
    <row r="450" spans="1:4" ht="15.75" customHeight="1" x14ac:dyDescent="0.25">
      <c r="A450" s="2">
        <v>45728</v>
      </c>
      <c r="B450" s="3" t="s">
        <v>90</v>
      </c>
      <c r="C450" s="3" t="s">
        <v>39</v>
      </c>
      <c r="D450" s="3">
        <v>6</v>
      </c>
    </row>
    <row r="451" spans="1:4" ht="15.75" customHeight="1" x14ac:dyDescent="0.25">
      <c r="A451" s="2">
        <v>45674</v>
      </c>
      <c r="B451" s="3" t="s">
        <v>120</v>
      </c>
      <c r="C451" s="3" t="s">
        <v>26</v>
      </c>
      <c r="D451" s="3">
        <v>9</v>
      </c>
    </row>
    <row r="452" spans="1:4" ht="15.75" customHeight="1" x14ac:dyDescent="0.25">
      <c r="A452" s="2">
        <v>45698</v>
      </c>
      <c r="B452" s="3" t="s">
        <v>112</v>
      </c>
      <c r="C452" s="3" t="s">
        <v>31</v>
      </c>
      <c r="D452" s="3">
        <v>11</v>
      </c>
    </row>
    <row r="453" spans="1:4" ht="15.75" customHeight="1" x14ac:dyDescent="0.25">
      <c r="A453" s="2">
        <v>45689</v>
      </c>
      <c r="B453" s="3" t="s">
        <v>74</v>
      </c>
      <c r="C453" s="3" t="s">
        <v>75</v>
      </c>
      <c r="D453" s="3">
        <v>73</v>
      </c>
    </row>
    <row r="454" spans="1:4" ht="15.75" customHeight="1" x14ac:dyDescent="0.25">
      <c r="A454" s="2">
        <v>45685</v>
      </c>
      <c r="B454" s="3" t="s">
        <v>131</v>
      </c>
      <c r="C454" s="3" t="s">
        <v>26</v>
      </c>
      <c r="D454" s="3">
        <v>116</v>
      </c>
    </row>
    <row r="455" spans="1:4" ht="15.75" customHeight="1" x14ac:dyDescent="0.25">
      <c r="A455" s="2">
        <v>45732</v>
      </c>
      <c r="B455" s="3" t="s">
        <v>17</v>
      </c>
      <c r="C455" s="3" t="s">
        <v>16</v>
      </c>
      <c r="D455" s="3">
        <v>50</v>
      </c>
    </row>
    <row r="456" spans="1:4" ht="15.75" customHeight="1" x14ac:dyDescent="0.25">
      <c r="A456" s="2">
        <v>45671</v>
      </c>
      <c r="B456" s="3" t="s">
        <v>4</v>
      </c>
      <c r="C456" s="3" t="s">
        <v>5</v>
      </c>
      <c r="D456" s="3">
        <v>144</v>
      </c>
    </row>
    <row r="457" spans="1:4" ht="15.75" customHeight="1" x14ac:dyDescent="0.25">
      <c r="A457" s="2">
        <v>45711</v>
      </c>
      <c r="B457" s="3" t="s">
        <v>112</v>
      </c>
      <c r="C457" s="3" t="s">
        <v>31</v>
      </c>
      <c r="D457" s="3">
        <v>50</v>
      </c>
    </row>
    <row r="458" spans="1:4" ht="15.75" customHeight="1" x14ac:dyDescent="0.25">
      <c r="A458" s="2">
        <v>45734</v>
      </c>
      <c r="B458" s="3" t="s">
        <v>4</v>
      </c>
      <c r="C458" s="3" t="s">
        <v>5</v>
      </c>
      <c r="D458" s="3">
        <v>78</v>
      </c>
    </row>
    <row r="459" spans="1:4" ht="15.75" customHeight="1" x14ac:dyDescent="0.25">
      <c r="A459" s="2">
        <v>45725</v>
      </c>
      <c r="B459" s="3" t="s">
        <v>91</v>
      </c>
      <c r="C459" s="3" t="s">
        <v>26</v>
      </c>
      <c r="D459" s="3">
        <v>19</v>
      </c>
    </row>
    <row r="460" spans="1:4" ht="15.75" customHeight="1" x14ac:dyDescent="0.25">
      <c r="A460" s="2">
        <v>45665</v>
      </c>
      <c r="B460" s="3" t="s">
        <v>90</v>
      </c>
      <c r="C460" s="3" t="s">
        <v>39</v>
      </c>
      <c r="D460" s="3">
        <v>125</v>
      </c>
    </row>
    <row r="461" spans="1:4" ht="15.75" customHeight="1" x14ac:dyDescent="0.25">
      <c r="A461" s="2">
        <v>45686</v>
      </c>
      <c r="B461" s="3" t="s">
        <v>135</v>
      </c>
      <c r="C461" s="3" t="s">
        <v>62</v>
      </c>
      <c r="D461" s="3">
        <v>30</v>
      </c>
    </row>
    <row r="462" spans="1:4" ht="15.75" customHeight="1" x14ac:dyDescent="0.25">
      <c r="A462" s="2">
        <v>45713</v>
      </c>
      <c r="B462" s="3" t="s">
        <v>35</v>
      </c>
      <c r="C462" s="3" t="s">
        <v>8</v>
      </c>
      <c r="D462" s="3">
        <v>6</v>
      </c>
    </row>
    <row r="463" spans="1:4" ht="15.75" customHeight="1" x14ac:dyDescent="0.25">
      <c r="A463" s="2">
        <v>45718</v>
      </c>
      <c r="B463" s="3" t="s">
        <v>68</v>
      </c>
      <c r="C463" s="3" t="s">
        <v>62</v>
      </c>
      <c r="D463" s="3">
        <v>144</v>
      </c>
    </row>
    <row r="464" spans="1:4" ht="15.75" customHeight="1" x14ac:dyDescent="0.25">
      <c r="A464" s="2">
        <v>45736</v>
      </c>
      <c r="B464" s="3" t="s">
        <v>56</v>
      </c>
      <c r="C464" s="3" t="s">
        <v>5</v>
      </c>
      <c r="D464" s="3">
        <v>61</v>
      </c>
    </row>
    <row r="465" spans="1:4" ht="15.75" customHeight="1" x14ac:dyDescent="0.25">
      <c r="A465" s="2">
        <v>45743</v>
      </c>
      <c r="B465" s="3" t="s">
        <v>70</v>
      </c>
      <c r="C465" s="3" t="s">
        <v>52</v>
      </c>
      <c r="D465" s="3">
        <v>138</v>
      </c>
    </row>
    <row r="466" spans="1:4" ht="15.75" customHeight="1" x14ac:dyDescent="0.25">
      <c r="A466" s="2">
        <v>45700</v>
      </c>
      <c r="B466" s="3" t="s">
        <v>97</v>
      </c>
      <c r="C466" s="3" t="s">
        <v>52</v>
      </c>
      <c r="D466" s="3">
        <v>9</v>
      </c>
    </row>
    <row r="467" spans="1:4" ht="15.75" customHeight="1" x14ac:dyDescent="0.25">
      <c r="A467" s="2">
        <v>45663</v>
      </c>
      <c r="B467" s="3" t="s">
        <v>101</v>
      </c>
      <c r="C467" s="3" t="s">
        <v>24</v>
      </c>
      <c r="D467" s="3">
        <v>13</v>
      </c>
    </row>
    <row r="468" spans="1:4" ht="15.75" customHeight="1" x14ac:dyDescent="0.25">
      <c r="A468" s="2">
        <v>45686</v>
      </c>
      <c r="B468" s="3" t="s">
        <v>132</v>
      </c>
      <c r="C468" s="3" t="s">
        <v>26</v>
      </c>
      <c r="D468" s="3">
        <v>102</v>
      </c>
    </row>
    <row r="469" spans="1:4" ht="15.75" customHeight="1" x14ac:dyDescent="0.25">
      <c r="A469" s="2">
        <v>45688</v>
      </c>
      <c r="B469" s="3" t="s">
        <v>42</v>
      </c>
      <c r="C469" s="3" t="s">
        <v>24</v>
      </c>
      <c r="D469" s="3">
        <v>78</v>
      </c>
    </row>
    <row r="470" spans="1:4" ht="15.75" customHeight="1" x14ac:dyDescent="0.25">
      <c r="A470" s="2">
        <v>45661</v>
      </c>
      <c r="B470" s="3" t="s">
        <v>34</v>
      </c>
      <c r="C470" s="3" t="s">
        <v>28</v>
      </c>
      <c r="D470" s="3">
        <v>112</v>
      </c>
    </row>
    <row r="471" spans="1:4" ht="15.75" customHeight="1" x14ac:dyDescent="0.25">
      <c r="A471" s="2">
        <v>45721</v>
      </c>
      <c r="B471" s="3" t="s">
        <v>91</v>
      </c>
      <c r="C471" s="3" t="s">
        <v>26</v>
      </c>
      <c r="D471" s="3">
        <v>107</v>
      </c>
    </row>
    <row r="472" spans="1:4" ht="15.75" customHeight="1" x14ac:dyDescent="0.25">
      <c r="A472" s="2">
        <v>45705</v>
      </c>
      <c r="B472" s="3" t="s">
        <v>63</v>
      </c>
      <c r="C472" s="3" t="s">
        <v>26</v>
      </c>
      <c r="D472" s="3">
        <v>46</v>
      </c>
    </row>
    <row r="473" spans="1:4" ht="15.75" customHeight="1" x14ac:dyDescent="0.25">
      <c r="A473" s="2">
        <v>45734</v>
      </c>
      <c r="B473" s="3" t="s">
        <v>86</v>
      </c>
      <c r="C473" s="3" t="s">
        <v>26</v>
      </c>
      <c r="D473" s="3">
        <v>137</v>
      </c>
    </row>
    <row r="474" spans="1:4" ht="15.75" customHeight="1" x14ac:dyDescent="0.25">
      <c r="A474" s="2">
        <v>45697</v>
      </c>
      <c r="B474" s="3" t="s">
        <v>137</v>
      </c>
      <c r="C474" s="3" t="s">
        <v>20</v>
      </c>
      <c r="D474" s="3">
        <v>90</v>
      </c>
    </row>
    <row r="475" spans="1:4" ht="15.75" customHeight="1" x14ac:dyDescent="0.25">
      <c r="A475" s="2">
        <v>45668</v>
      </c>
      <c r="B475" s="3" t="s">
        <v>83</v>
      </c>
      <c r="C475" s="3" t="s">
        <v>5</v>
      </c>
      <c r="D475" s="3">
        <v>100</v>
      </c>
    </row>
    <row r="476" spans="1:4" ht="15.75" customHeight="1" x14ac:dyDescent="0.25">
      <c r="A476" s="2">
        <v>45707</v>
      </c>
      <c r="B476" s="3" t="s">
        <v>113</v>
      </c>
      <c r="C476" s="3" t="s">
        <v>85</v>
      </c>
      <c r="D476" s="3">
        <v>66</v>
      </c>
    </row>
    <row r="477" spans="1:4" ht="15.75" customHeight="1" x14ac:dyDescent="0.25">
      <c r="A477" s="2">
        <v>45664</v>
      </c>
      <c r="B477" s="3" t="s">
        <v>99</v>
      </c>
      <c r="C477" s="3" t="s">
        <v>16</v>
      </c>
      <c r="D477" s="3">
        <v>30</v>
      </c>
    </row>
    <row r="478" spans="1:4" ht="15.75" customHeight="1" x14ac:dyDescent="0.25">
      <c r="A478" s="2">
        <v>45703</v>
      </c>
      <c r="B478" s="3" t="s">
        <v>67</v>
      </c>
      <c r="C478" s="3" t="s">
        <v>39</v>
      </c>
      <c r="D478" s="3">
        <v>97</v>
      </c>
    </row>
    <row r="479" spans="1:4" ht="15.75" customHeight="1" x14ac:dyDescent="0.25">
      <c r="A479" s="2">
        <v>45699</v>
      </c>
      <c r="B479" s="3" t="s">
        <v>68</v>
      </c>
      <c r="C479" s="3" t="s">
        <v>62</v>
      </c>
      <c r="D479" s="3">
        <v>9</v>
      </c>
    </row>
    <row r="480" spans="1:4" ht="15.75" customHeight="1" x14ac:dyDescent="0.25">
      <c r="A480" s="2">
        <v>45705</v>
      </c>
      <c r="B480" s="3" t="s">
        <v>121</v>
      </c>
      <c r="C480" s="3" t="s">
        <v>50</v>
      </c>
      <c r="D480" s="3">
        <v>13</v>
      </c>
    </row>
    <row r="481" spans="1:4" ht="15.75" customHeight="1" x14ac:dyDescent="0.25">
      <c r="A481" s="2">
        <v>45699</v>
      </c>
      <c r="B481" s="3" t="s">
        <v>15</v>
      </c>
      <c r="C481" s="3" t="s">
        <v>16</v>
      </c>
      <c r="D481" s="3">
        <v>48</v>
      </c>
    </row>
    <row r="482" spans="1:4" ht="15.75" customHeight="1" x14ac:dyDescent="0.25">
      <c r="A482" s="2">
        <v>45695</v>
      </c>
      <c r="B482" s="3" t="s">
        <v>131</v>
      </c>
      <c r="C482" s="3" t="s">
        <v>26</v>
      </c>
      <c r="D482" s="3">
        <v>29</v>
      </c>
    </row>
    <row r="483" spans="1:4" ht="15.75" customHeight="1" x14ac:dyDescent="0.25">
      <c r="A483" s="2">
        <v>45736</v>
      </c>
      <c r="B483" s="3" t="s">
        <v>113</v>
      </c>
      <c r="C483" s="3" t="s">
        <v>85</v>
      </c>
      <c r="D483" s="3">
        <v>10</v>
      </c>
    </row>
    <row r="484" spans="1:4" ht="15.75" customHeight="1" x14ac:dyDescent="0.25">
      <c r="A484" s="2">
        <v>45745</v>
      </c>
      <c r="B484" s="3" t="s">
        <v>12</v>
      </c>
      <c r="C484" s="3" t="s">
        <v>13</v>
      </c>
      <c r="D484" s="3">
        <v>7</v>
      </c>
    </row>
    <row r="485" spans="1:4" ht="15.75" customHeight="1" x14ac:dyDescent="0.25">
      <c r="A485" s="2">
        <v>45678</v>
      </c>
      <c r="B485" s="3" t="s">
        <v>14</v>
      </c>
      <c r="C485" s="3" t="s">
        <v>8</v>
      </c>
      <c r="D485" s="3">
        <v>98</v>
      </c>
    </row>
    <row r="486" spans="1:4" ht="15.75" customHeight="1" x14ac:dyDescent="0.25">
      <c r="A486" s="2">
        <v>45679</v>
      </c>
      <c r="B486" s="3" t="s">
        <v>61</v>
      </c>
      <c r="C486" s="3" t="s">
        <v>62</v>
      </c>
      <c r="D486" s="3">
        <v>106</v>
      </c>
    </row>
    <row r="487" spans="1:4" ht="15.75" customHeight="1" x14ac:dyDescent="0.25">
      <c r="A487" s="2">
        <v>45692</v>
      </c>
      <c r="B487" s="3" t="s">
        <v>90</v>
      </c>
      <c r="C487" s="3" t="s">
        <v>39</v>
      </c>
      <c r="D487" s="3">
        <v>93</v>
      </c>
    </row>
    <row r="488" spans="1:4" ht="15.75" customHeight="1" x14ac:dyDescent="0.25">
      <c r="A488" s="2">
        <v>45712</v>
      </c>
      <c r="B488" s="3" t="s">
        <v>122</v>
      </c>
      <c r="C488" s="3" t="s">
        <v>26</v>
      </c>
      <c r="D488" s="3">
        <v>55</v>
      </c>
    </row>
    <row r="489" spans="1:4" ht="15.75" customHeight="1" x14ac:dyDescent="0.25">
      <c r="A489" s="2">
        <v>45711</v>
      </c>
      <c r="B489" s="3" t="s">
        <v>55</v>
      </c>
      <c r="C489" s="3" t="s">
        <v>24</v>
      </c>
      <c r="D489" s="3">
        <v>114</v>
      </c>
    </row>
    <row r="490" spans="1:4" ht="15.75" customHeight="1" x14ac:dyDescent="0.25">
      <c r="A490" s="2">
        <v>45683</v>
      </c>
      <c r="B490" s="3" t="s">
        <v>81</v>
      </c>
      <c r="C490" s="3" t="s">
        <v>82</v>
      </c>
      <c r="D490" s="3">
        <v>115</v>
      </c>
    </row>
    <row r="491" spans="1:4" ht="15.75" customHeight="1" x14ac:dyDescent="0.25">
      <c r="A491" s="2">
        <v>45658</v>
      </c>
      <c r="B491" s="3" t="s">
        <v>83</v>
      </c>
      <c r="C491" s="3" t="s">
        <v>5</v>
      </c>
      <c r="D491" s="3">
        <v>32</v>
      </c>
    </row>
    <row r="492" spans="1:4" ht="15.75" customHeight="1" x14ac:dyDescent="0.25">
      <c r="A492" s="2">
        <v>45703</v>
      </c>
      <c r="B492" s="3" t="s">
        <v>98</v>
      </c>
      <c r="C492" s="3" t="s">
        <v>22</v>
      </c>
      <c r="D492" s="3">
        <v>11</v>
      </c>
    </row>
    <row r="493" spans="1:4" ht="15.75" customHeight="1" x14ac:dyDescent="0.25">
      <c r="A493" s="2">
        <v>45736</v>
      </c>
      <c r="B493" s="3" t="s">
        <v>36</v>
      </c>
      <c r="C493" s="3" t="s">
        <v>22</v>
      </c>
      <c r="D493" s="3">
        <v>10</v>
      </c>
    </row>
    <row r="494" spans="1:4" ht="15.75" customHeight="1" x14ac:dyDescent="0.25">
      <c r="A494" s="2">
        <v>45682</v>
      </c>
      <c r="B494" s="3" t="s">
        <v>40</v>
      </c>
      <c r="C494" s="3" t="s">
        <v>41</v>
      </c>
      <c r="D494" s="3">
        <v>133</v>
      </c>
    </row>
    <row r="495" spans="1:4" ht="15.75" customHeight="1" x14ac:dyDescent="0.25">
      <c r="A495" s="2">
        <v>45728</v>
      </c>
      <c r="B495" s="3" t="s">
        <v>104</v>
      </c>
      <c r="C495" s="3" t="s">
        <v>5</v>
      </c>
      <c r="D495" s="3">
        <v>90</v>
      </c>
    </row>
    <row r="496" spans="1:4" ht="15.75" customHeight="1" x14ac:dyDescent="0.25">
      <c r="A496" s="2">
        <v>45698</v>
      </c>
      <c r="B496" s="3" t="s">
        <v>49</v>
      </c>
      <c r="C496" s="3" t="s">
        <v>50</v>
      </c>
      <c r="D496" s="3">
        <v>39</v>
      </c>
    </row>
    <row r="497" spans="1:4" ht="15.75" customHeight="1" x14ac:dyDescent="0.25">
      <c r="A497" s="2">
        <v>45676</v>
      </c>
      <c r="B497" s="3" t="s">
        <v>45</v>
      </c>
      <c r="C497" s="3" t="s">
        <v>24</v>
      </c>
      <c r="D497" s="3">
        <v>139</v>
      </c>
    </row>
    <row r="498" spans="1:4" ht="15.75" customHeight="1" x14ac:dyDescent="0.25">
      <c r="A498" s="2">
        <v>45667</v>
      </c>
      <c r="B498" s="3" t="s">
        <v>96</v>
      </c>
      <c r="C498" s="3" t="s">
        <v>50</v>
      </c>
      <c r="D498" s="3">
        <v>52</v>
      </c>
    </row>
    <row r="499" spans="1:4" ht="15.75" customHeight="1" x14ac:dyDescent="0.25">
      <c r="A499" s="2">
        <v>45714</v>
      </c>
      <c r="B499" s="3" t="s">
        <v>103</v>
      </c>
      <c r="C499" s="3" t="s">
        <v>26</v>
      </c>
      <c r="D499" s="3">
        <v>142</v>
      </c>
    </row>
    <row r="500" spans="1:4" ht="15.75" customHeight="1" x14ac:dyDescent="0.25">
      <c r="A500" s="2">
        <v>45679</v>
      </c>
      <c r="B500" s="3" t="s">
        <v>136</v>
      </c>
      <c r="C500" s="3" t="s">
        <v>79</v>
      </c>
      <c r="D500" s="3">
        <v>29</v>
      </c>
    </row>
    <row r="501" spans="1:4" ht="15.75" customHeight="1" x14ac:dyDescent="0.25">
      <c r="A501" s="2">
        <v>45726</v>
      </c>
      <c r="B501" s="3" t="s">
        <v>12</v>
      </c>
      <c r="C501" s="3" t="s">
        <v>13</v>
      </c>
      <c r="D501" s="3">
        <v>2</v>
      </c>
    </row>
    <row r="502" spans="1:4" ht="15.75" customHeight="1" x14ac:dyDescent="0.25">
      <c r="A502" s="4"/>
    </row>
    <row r="503" spans="1:4" ht="15.75" customHeight="1" x14ac:dyDescent="0.25">
      <c r="A503" s="4"/>
    </row>
    <row r="504" spans="1:4" ht="15.75" customHeight="1" x14ac:dyDescent="0.25">
      <c r="A504" s="4"/>
    </row>
    <row r="505" spans="1:4" ht="15.75" customHeight="1" x14ac:dyDescent="0.25">
      <c r="A505" s="4"/>
    </row>
    <row r="506" spans="1:4" ht="15.75" customHeight="1" x14ac:dyDescent="0.25">
      <c r="A506" s="4"/>
    </row>
    <row r="507" spans="1:4" ht="15.75" customHeight="1" x14ac:dyDescent="0.25">
      <c r="A507" s="4"/>
    </row>
    <row r="508" spans="1:4" ht="15.75" customHeight="1" x14ac:dyDescent="0.25">
      <c r="A508" s="4"/>
    </row>
    <row r="509" spans="1:4" ht="15.75" customHeight="1" x14ac:dyDescent="0.25">
      <c r="A509" s="4"/>
    </row>
    <row r="510" spans="1:4" ht="15.75" customHeight="1" x14ac:dyDescent="0.25">
      <c r="A510" s="4"/>
    </row>
    <row r="511" spans="1:4" ht="15.75" customHeight="1" x14ac:dyDescent="0.25">
      <c r="A511" s="4"/>
    </row>
    <row r="512" spans="1:4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H4" sqref="H4"/>
    </sheetView>
  </sheetViews>
  <sheetFormatPr defaultColWidth="14.42578125" defaultRowHeight="15" customHeight="1" x14ac:dyDescent="0.25"/>
  <cols>
    <col min="1" max="1" width="10.7109375" bestFit="1" customWidth="1"/>
    <col min="2" max="2" width="9.140625" bestFit="1" customWidth="1"/>
    <col min="3" max="3" width="21.42578125" bestFit="1" customWidth="1"/>
    <col min="4" max="4" width="16" bestFit="1" customWidth="1"/>
    <col min="5" max="24" width="8.7109375" customWidth="1"/>
  </cols>
  <sheetData>
    <row r="1" spans="1:4" x14ac:dyDescent="0.25">
      <c r="A1" s="6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2">
        <v>45677</v>
      </c>
      <c r="B2" s="3" t="s">
        <v>58</v>
      </c>
      <c r="C2" s="3" t="s">
        <v>24</v>
      </c>
      <c r="D2" s="3">
        <v>18</v>
      </c>
    </row>
    <row r="3" spans="1:4" x14ac:dyDescent="0.25">
      <c r="A3" s="2">
        <v>45705</v>
      </c>
      <c r="B3" s="3" t="s">
        <v>130</v>
      </c>
      <c r="C3" s="3" t="s">
        <v>52</v>
      </c>
      <c r="D3" s="3">
        <v>40</v>
      </c>
    </row>
    <row r="4" spans="1:4" x14ac:dyDescent="0.25">
      <c r="A4" s="2">
        <v>45710</v>
      </c>
      <c r="B4" s="3" t="s">
        <v>32</v>
      </c>
      <c r="C4" s="3" t="s">
        <v>22</v>
      </c>
      <c r="D4" s="3">
        <v>61</v>
      </c>
    </row>
    <row r="5" spans="1:4" x14ac:dyDescent="0.25">
      <c r="A5" s="2">
        <v>45664</v>
      </c>
      <c r="B5" s="3" t="s">
        <v>68</v>
      </c>
      <c r="C5" s="3" t="s">
        <v>62</v>
      </c>
      <c r="D5" s="3">
        <v>62</v>
      </c>
    </row>
    <row r="6" spans="1:4" x14ac:dyDescent="0.25">
      <c r="A6" s="2">
        <v>45663</v>
      </c>
      <c r="B6" s="3" t="s">
        <v>133</v>
      </c>
      <c r="C6" s="3" t="s">
        <v>24</v>
      </c>
      <c r="D6" s="3">
        <v>70</v>
      </c>
    </row>
    <row r="7" spans="1:4" x14ac:dyDescent="0.25">
      <c r="A7" s="2">
        <v>45685</v>
      </c>
      <c r="B7" s="3" t="s">
        <v>110</v>
      </c>
      <c r="C7" s="3" t="s">
        <v>8</v>
      </c>
      <c r="D7" s="3">
        <v>69</v>
      </c>
    </row>
    <row r="8" spans="1:4" x14ac:dyDescent="0.25">
      <c r="A8" s="2">
        <v>45680</v>
      </c>
      <c r="B8" s="3" t="s">
        <v>140</v>
      </c>
      <c r="C8" s="3" t="s">
        <v>85</v>
      </c>
      <c r="D8" s="3">
        <v>54</v>
      </c>
    </row>
    <row r="9" spans="1:4" x14ac:dyDescent="0.25">
      <c r="A9" s="2">
        <v>45675</v>
      </c>
      <c r="B9" s="3" t="s">
        <v>36</v>
      </c>
      <c r="C9" s="3" t="s">
        <v>22</v>
      </c>
      <c r="D9" s="3">
        <v>47</v>
      </c>
    </row>
    <row r="10" spans="1:4" x14ac:dyDescent="0.25">
      <c r="A10" s="2">
        <v>45726</v>
      </c>
      <c r="B10" s="3" t="s">
        <v>87</v>
      </c>
      <c r="C10" s="3" t="s">
        <v>39</v>
      </c>
      <c r="D10" s="3">
        <v>28</v>
      </c>
    </row>
    <row r="11" spans="1:4" x14ac:dyDescent="0.25">
      <c r="A11" s="2">
        <v>45734</v>
      </c>
      <c r="B11" s="3" t="s">
        <v>15</v>
      </c>
      <c r="C11" s="3" t="s">
        <v>16</v>
      </c>
      <c r="D11" s="3">
        <v>68</v>
      </c>
    </row>
    <row r="12" spans="1:4" x14ac:dyDescent="0.25">
      <c r="A12" s="2">
        <v>45728</v>
      </c>
      <c r="B12" s="3" t="s">
        <v>49</v>
      </c>
      <c r="C12" s="3" t="s">
        <v>50</v>
      </c>
      <c r="D12" s="3">
        <v>1</v>
      </c>
    </row>
    <row r="13" spans="1:4" x14ac:dyDescent="0.25">
      <c r="A13" s="2">
        <v>45706</v>
      </c>
      <c r="B13" s="3" t="s">
        <v>53</v>
      </c>
      <c r="C13" s="3" t="s">
        <v>50</v>
      </c>
      <c r="D13" s="3">
        <v>47</v>
      </c>
    </row>
    <row r="14" spans="1:4" x14ac:dyDescent="0.25">
      <c r="A14" s="2">
        <v>45658</v>
      </c>
      <c r="B14" s="3" t="s">
        <v>129</v>
      </c>
      <c r="C14" s="3" t="s">
        <v>41</v>
      </c>
      <c r="D14" s="3">
        <v>76</v>
      </c>
    </row>
    <row r="15" spans="1:4" x14ac:dyDescent="0.25">
      <c r="A15" s="2">
        <v>45679</v>
      </c>
      <c r="B15" s="3" t="s">
        <v>69</v>
      </c>
      <c r="C15" s="3" t="s">
        <v>24</v>
      </c>
      <c r="D15" s="3">
        <v>70</v>
      </c>
    </row>
    <row r="16" spans="1:4" x14ac:dyDescent="0.25">
      <c r="A16" s="2">
        <v>45671</v>
      </c>
      <c r="B16" s="3" t="s">
        <v>53</v>
      </c>
      <c r="C16" s="3" t="s">
        <v>50</v>
      </c>
      <c r="D16" s="3">
        <v>22</v>
      </c>
    </row>
    <row r="17" spans="1:4" x14ac:dyDescent="0.25">
      <c r="A17" s="2">
        <v>45729</v>
      </c>
      <c r="B17" s="3" t="s">
        <v>94</v>
      </c>
      <c r="C17" s="3" t="s">
        <v>52</v>
      </c>
      <c r="D17" s="3">
        <v>75</v>
      </c>
    </row>
    <row r="18" spans="1:4" x14ac:dyDescent="0.25">
      <c r="A18" s="2">
        <v>45723</v>
      </c>
      <c r="B18" s="3" t="s">
        <v>19</v>
      </c>
      <c r="C18" s="3" t="s">
        <v>20</v>
      </c>
      <c r="D18" s="3">
        <v>66</v>
      </c>
    </row>
    <row r="19" spans="1:4" x14ac:dyDescent="0.25">
      <c r="A19" s="2">
        <v>45746</v>
      </c>
      <c r="B19" s="3" t="s">
        <v>112</v>
      </c>
      <c r="C19" s="3" t="s">
        <v>31</v>
      </c>
      <c r="D19" s="3">
        <v>78</v>
      </c>
    </row>
    <row r="20" spans="1:4" x14ac:dyDescent="0.25">
      <c r="A20" s="2">
        <v>45666</v>
      </c>
      <c r="B20" s="3" t="s">
        <v>141</v>
      </c>
      <c r="C20" s="3" t="s">
        <v>24</v>
      </c>
      <c r="D20" s="3">
        <v>62</v>
      </c>
    </row>
    <row r="21" spans="1:4" ht="15.75" customHeight="1" x14ac:dyDescent="0.25">
      <c r="A21" s="2">
        <v>45706</v>
      </c>
      <c r="B21" s="3" t="s">
        <v>46</v>
      </c>
      <c r="C21" s="3" t="s">
        <v>20</v>
      </c>
      <c r="D21" s="3">
        <v>74</v>
      </c>
    </row>
    <row r="22" spans="1:4" ht="15.75" customHeight="1" x14ac:dyDescent="0.25">
      <c r="A22" s="2">
        <v>45715</v>
      </c>
      <c r="B22" s="3" t="s">
        <v>45</v>
      </c>
      <c r="C22" s="3" t="s">
        <v>24</v>
      </c>
      <c r="D22" s="3">
        <v>71</v>
      </c>
    </row>
    <row r="23" spans="1:4" ht="15.75" customHeight="1" x14ac:dyDescent="0.25">
      <c r="A23" s="2">
        <v>45695</v>
      </c>
      <c r="B23" s="3" t="s">
        <v>61</v>
      </c>
      <c r="C23" s="3" t="s">
        <v>62</v>
      </c>
      <c r="D23" s="3">
        <v>18</v>
      </c>
    </row>
    <row r="24" spans="1:4" ht="15.75" customHeight="1" x14ac:dyDescent="0.25">
      <c r="A24" s="2">
        <v>45665</v>
      </c>
      <c r="B24" s="3" t="s">
        <v>132</v>
      </c>
      <c r="C24" s="3" t="s">
        <v>26</v>
      </c>
      <c r="D24" s="3">
        <v>19</v>
      </c>
    </row>
    <row r="25" spans="1:4" ht="15.75" customHeight="1" x14ac:dyDescent="0.25">
      <c r="A25" s="2">
        <v>45694</v>
      </c>
      <c r="B25" s="3" t="s">
        <v>96</v>
      </c>
      <c r="C25" s="3" t="s">
        <v>50</v>
      </c>
      <c r="D25" s="3">
        <v>31</v>
      </c>
    </row>
    <row r="26" spans="1:4" ht="15.75" customHeight="1" x14ac:dyDescent="0.25">
      <c r="A26" s="2">
        <v>45728</v>
      </c>
      <c r="B26" s="3" t="s">
        <v>65</v>
      </c>
      <c r="C26" s="3" t="s">
        <v>5</v>
      </c>
      <c r="D26" s="3">
        <v>29</v>
      </c>
    </row>
    <row r="27" spans="1:4" ht="15.75" customHeight="1" x14ac:dyDescent="0.25">
      <c r="A27" s="2">
        <v>45715</v>
      </c>
      <c r="B27" s="3" t="s">
        <v>17</v>
      </c>
      <c r="C27" s="3" t="s">
        <v>16</v>
      </c>
      <c r="D27" s="3">
        <v>74</v>
      </c>
    </row>
    <row r="28" spans="1:4" ht="15.75" customHeight="1" x14ac:dyDescent="0.25">
      <c r="A28" s="2">
        <v>45671</v>
      </c>
      <c r="B28" s="3" t="s">
        <v>129</v>
      </c>
      <c r="C28" s="3" t="s">
        <v>41</v>
      </c>
      <c r="D28" s="3">
        <v>69</v>
      </c>
    </row>
    <row r="29" spans="1:4" ht="15.75" customHeight="1" x14ac:dyDescent="0.25">
      <c r="A29" s="2">
        <v>45686</v>
      </c>
      <c r="B29" s="3" t="s">
        <v>138</v>
      </c>
      <c r="C29" s="3" t="s">
        <v>85</v>
      </c>
      <c r="D29" s="3">
        <v>4</v>
      </c>
    </row>
    <row r="30" spans="1:4" ht="15.75" customHeight="1" x14ac:dyDescent="0.25">
      <c r="A30" s="2">
        <v>45680</v>
      </c>
      <c r="B30" s="3" t="s">
        <v>108</v>
      </c>
      <c r="C30" s="3" t="s">
        <v>109</v>
      </c>
      <c r="D30" s="3">
        <v>31</v>
      </c>
    </row>
    <row r="31" spans="1:4" ht="15.75" customHeight="1" x14ac:dyDescent="0.25">
      <c r="A31" s="2">
        <v>45675</v>
      </c>
      <c r="B31" s="3" t="s">
        <v>137</v>
      </c>
      <c r="C31" s="3" t="s">
        <v>20</v>
      </c>
      <c r="D31" s="3">
        <v>25</v>
      </c>
    </row>
    <row r="32" spans="1:4" ht="15.75" customHeight="1" x14ac:dyDescent="0.25">
      <c r="A32" s="2">
        <v>45681</v>
      </c>
      <c r="B32" s="3" t="s">
        <v>10</v>
      </c>
      <c r="C32" s="3" t="s">
        <v>8</v>
      </c>
      <c r="D32" s="3">
        <v>48</v>
      </c>
    </row>
    <row r="33" spans="1:4" ht="15.75" customHeight="1" x14ac:dyDescent="0.25">
      <c r="A33" s="2">
        <v>45746</v>
      </c>
      <c r="B33" s="3" t="s">
        <v>104</v>
      </c>
      <c r="C33" s="3" t="s">
        <v>5</v>
      </c>
      <c r="D33" s="3">
        <v>39</v>
      </c>
    </row>
    <row r="34" spans="1:4" ht="15.75" customHeight="1" x14ac:dyDescent="0.25">
      <c r="A34" s="2">
        <v>45724</v>
      </c>
      <c r="B34" s="3" t="s">
        <v>47</v>
      </c>
      <c r="C34" s="3" t="s">
        <v>22</v>
      </c>
      <c r="D34" s="3">
        <v>57</v>
      </c>
    </row>
    <row r="35" spans="1:4" ht="15.75" customHeight="1" x14ac:dyDescent="0.25">
      <c r="A35" s="2">
        <v>45739</v>
      </c>
      <c r="B35" s="3" t="s">
        <v>58</v>
      </c>
      <c r="C35" s="3" t="s">
        <v>24</v>
      </c>
      <c r="D35" s="3">
        <v>17</v>
      </c>
    </row>
    <row r="36" spans="1:4" ht="15.75" customHeight="1" x14ac:dyDescent="0.25">
      <c r="A36" s="2">
        <v>45676</v>
      </c>
      <c r="B36" s="3" t="s">
        <v>35</v>
      </c>
      <c r="C36" s="3" t="s">
        <v>8</v>
      </c>
      <c r="D36" s="3">
        <v>13</v>
      </c>
    </row>
    <row r="37" spans="1:4" ht="15.75" customHeight="1" x14ac:dyDescent="0.25">
      <c r="A37" s="2">
        <v>45729</v>
      </c>
      <c r="B37" s="3" t="s">
        <v>9</v>
      </c>
      <c r="C37" s="3" t="s">
        <v>8</v>
      </c>
      <c r="D37" s="3">
        <v>78</v>
      </c>
    </row>
    <row r="38" spans="1:4" ht="15.75" customHeight="1" x14ac:dyDescent="0.25">
      <c r="A38" s="2">
        <v>45679</v>
      </c>
      <c r="B38" s="3" t="s">
        <v>126</v>
      </c>
      <c r="C38" s="3" t="s">
        <v>26</v>
      </c>
      <c r="D38" s="3">
        <v>55</v>
      </c>
    </row>
    <row r="39" spans="1:4" ht="15.75" customHeight="1" x14ac:dyDescent="0.25">
      <c r="A39" s="2">
        <v>45718</v>
      </c>
      <c r="B39" s="3" t="s">
        <v>117</v>
      </c>
      <c r="C39" s="3" t="s">
        <v>28</v>
      </c>
      <c r="D39" s="3">
        <v>74</v>
      </c>
    </row>
    <row r="40" spans="1:4" ht="15.75" customHeight="1" x14ac:dyDescent="0.25">
      <c r="A40" s="2">
        <v>45700</v>
      </c>
      <c r="B40" s="3" t="s">
        <v>58</v>
      </c>
      <c r="C40" s="3" t="s">
        <v>24</v>
      </c>
      <c r="D40" s="3">
        <v>60</v>
      </c>
    </row>
    <row r="41" spans="1:4" ht="15.75" customHeight="1" x14ac:dyDescent="0.25">
      <c r="A41" s="2">
        <v>45740</v>
      </c>
      <c r="B41" s="3" t="s">
        <v>19</v>
      </c>
      <c r="C41" s="3" t="s">
        <v>20</v>
      </c>
      <c r="D41" s="3">
        <v>74</v>
      </c>
    </row>
    <row r="42" spans="1:4" ht="15.75" customHeight="1" x14ac:dyDescent="0.25">
      <c r="A42" s="2">
        <v>45730</v>
      </c>
      <c r="B42" s="3" t="s">
        <v>101</v>
      </c>
      <c r="C42" s="3" t="s">
        <v>24</v>
      </c>
      <c r="D42" s="3">
        <v>53</v>
      </c>
    </row>
    <row r="43" spans="1:4" ht="15.75" customHeight="1" x14ac:dyDescent="0.25">
      <c r="A43" s="2">
        <v>45734</v>
      </c>
      <c r="B43" s="3" t="s">
        <v>80</v>
      </c>
      <c r="C43" s="3" t="s">
        <v>22</v>
      </c>
      <c r="D43" s="3">
        <v>46</v>
      </c>
    </row>
    <row r="44" spans="1:4" ht="15.75" customHeight="1" x14ac:dyDescent="0.25">
      <c r="A44" s="2">
        <v>45689</v>
      </c>
      <c r="B44" s="3" t="s">
        <v>63</v>
      </c>
      <c r="C44" s="3" t="s">
        <v>26</v>
      </c>
      <c r="D44" s="3">
        <v>61</v>
      </c>
    </row>
    <row r="45" spans="1:4" ht="15.75" customHeight="1" x14ac:dyDescent="0.25">
      <c r="A45" s="2">
        <v>45693</v>
      </c>
      <c r="B45" s="3" t="s">
        <v>68</v>
      </c>
      <c r="C45" s="3" t="s">
        <v>62</v>
      </c>
      <c r="D45" s="3">
        <v>5</v>
      </c>
    </row>
    <row r="46" spans="1:4" ht="15.75" customHeight="1" x14ac:dyDescent="0.25">
      <c r="A46" s="2">
        <v>45736</v>
      </c>
      <c r="B46" s="3" t="s">
        <v>140</v>
      </c>
      <c r="C46" s="3" t="s">
        <v>85</v>
      </c>
      <c r="D46" s="3">
        <v>48</v>
      </c>
    </row>
    <row r="47" spans="1:4" ht="15.75" customHeight="1" x14ac:dyDescent="0.25">
      <c r="A47" s="2">
        <v>45715</v>
      </c>
      <c r="B47" s="3" t="s">
        <v>73</v>
      </c>
      <c r="C47" s="3" t="s">
        <v>13</v>
      </c>
      <c r="D47" s="3">
        <v>23</v>
      </c>
    </row>
    <row r="48" spans="1:4" ht="15.75" customHeight="1" x14ac:dyDescent="0.25">
      <c r="A48" s="2">
        <v>45672</v>
      </c>
      <c r="B48" s="3" t="s">
        <v>129</v>
      </c>
      <c r="C48" s="3" t="s">
        <v>41</v>
      </c>
      <c r="D48" s="3">
        <v>46</v>
      </c>
    </row>
    <row r="49" spans="1:4" ht="15.75" customHeight="1" x14ac:dyDescent="0.25">
      <c r="A49" s="2">
        <v>45738</v>
      </c>
      <c r="B49" s="3" t="s">
        <v>112</v>
      </c>
      <c r="C49" s="3" t="s">
        <v>31</v>
      </c>
      <c r="D49" s="3">
        <v>42</v>
      </c>
    </row>
    <row r="50" spans="1:4" ht="15.75" customHeight="1" x14ac:dyDescent="0.25">
      <c r="A50" s="2">
        <v>45728</v>
      </c>
      <c r="B50" s="3" t="s">
        <v>107</v>
      </c>
      <c r="C50" s="3" t="s">
        <v>24</v>
      </c>
      <c r="D50" s="3">
        <v>4</v>
      </c>
    </row>
    <row r="51" spans="1:4" ht="15.75" customHeight="1" x14ac:dyDescent="0.25">
      <c r="A51" s="2">
        <v>45745</v>
      </c>
      <c r="B51" s="3" t="s">
        <v>78</v>
      </c>
      <c r="C51" s="3" t="s">
        <v>79</v>
      </c>
      <c r="D51" s="3">
        <v>22</v>
      </c>
    </row>
    <row r="52" spans="1:4" ht="15.75" customHeight="1" x14ac:dyDescent="0.25">
      <c r="A52" s="2">
        <v>45697</v>
      </c>
      <c r="B52" s="3" t="s">
        <v>96</v>
      </c>
      <c r="C52" s="3" t="s">
        <v>50</v>
      </c>
      <c r="D52" s="3">
        <v>78</v>
      </c>
    </row>
    <row r="53" spans="1:4" ht="15.75" customHeight="1" x14ac:dyDescent="0.25">
      <c r="A53" s="2">
        <v>45745</v>
      </c>
      <c r="B53" s="3" t="s">
        <v>38</v>
      </c>
      <c r="C53" s="3" t="s">
        <v>39</v>
      </c>
      <c r="D53" s="3">
        <v>35</v>
      </c>
    </row>
    <row r="54" spans="1:4" ht="15.75" customHeight="1" x14ac:dyDescent="0.25">
      <c r="A54" s="2">
        <v>45685</v>
      </c>
      <c r="B54" s="3" t="s">
        <v>108</v>
      </c>
      <c r="C54" s="3" t="s">
        <v>109</v>
      </c>
      <c r="D54" s="3">
        <v>50</v>
      </c>
    </row>
    <row r="55" spans="1:4" ht="15.75" customHeight="1" x14ac:dyDescent="0.25">
      <c r="A55" s="2">
        <v>45678</v>
      </c>
      <c r="B55" s="3" t="s">
        <v>56</v>
      </c>
      <c r="C55" s="3" t="s">
        <v>5</v>
      </c>
      <c r="D55" s="3">
        <v>80</v>
      </c>
    </row>
    <row r="56" spans="1:4" ht="15.75" customHeight="1" x14ac:dyDescent="0.25">
      <c r="A56" s="2">
        <v>45667</v>
      </c>
      <c r="B56" s="3" t="s">
        <v>136</v>
      </c>
      <c r="C56" s="3" t="s">
        <v>79</v>
      </c>
      <c r="D56" s="3">
        <v>16</v>
      </c>
    </row>
    <row r="57" spans="1:4" ht="15.75" customHeight="1" x14ac:dyDescent="0.25">
      <c r="A57" s="2">
        <v>45707</v>
      </c>
      <c r="B57" s="3" t="s">
        <v>102</v>
      </c>
      <c r="C57" s="3" t="s">
        <v>41</v>
      </c>
      <c r="D57" s="3">
        <v>52</v>
      </c>
    </row>
    <row r="58" spans="1:4" ht="15.75" customHeight="1" x14ac:dyDescent="0.25">
      <c r="A58" s="2">
        <v>45714</v>
      </c>
      <c r="B58" s="3" t="s">
        <v>132</v>
      </c>
      <c r="C58" s="3" t="s">
        <v>26</v>
      </c>
      <c r="D58" s="3">
        <v>22</v>
      </c>
    </row>
    <row r="59" spans="1:4" ht="15.75" customHeight="1" x14ac:dyDescent="0.25">
      <c r="A59" s="2">
        <v>45704</v>
      </c>
      <c r="B59" s="3" t="s">
        <v>118</v>
      </c>
      <c r="C59" s="3" t="s">
        <v>52</v>
      </c>
      <c r="D59" s="3">
        <v>25</v>
      </c>
    </row>
    <row r="60" spans="1:4" ht="15.75" customHeight="1" x14ac:dyDescent="0.25">
      <c r="A60" s="2">
        <v>45724</v>
      </c>
      <c r="B60" s="3" t="s">
        <v>10</v>
      </c>
      <c r="C60" s="3" t="s">
        <v>8</v>
      </c>
      <c r="D60" s="3">
        <v>36</v>
      </c>
    </row>
    <row r="61" spans="1:4" ht="15.75" customHeight="1" x14ac:dyDescent="0.25">
      <c r="A61" s="2">
        <v>45701</v>
      </c>
      <c r="B61" s="3" t="s">
        <v>101</v>
      </c>
      <c r="C61" s="3" t="s">
        <v>24</v>
      </c>
      <c r="D61" s="3">
        <v>5</v>
      </c>
    </row>
    <row r="62" spans="1:4" ht="15.75" customHeight="1" x14ac:dyDescent="0.25">
      <c r="A62" s="2">
        <v>45712</v>
      </c>
      <c r="B62" s="3" t="s">
        <v>107</v>
      </c>
      <c r="C62" s="3" t="s">
        <v>24</v>
      </c>
      <c r="D62" s="3">
        <v>70</v>
      </c>
    </row>
    <row r="63" spans="1:4" ht="15.75" customHeight="1" x14ac:dyDescent="0.25">
      <c r="A63" s="2">
        <v>45746</v>
      </c>
      <c r="B63" s="3" t="s">
        <v>124</v>
      </c>
      <c r="C63" s="3" t="s">
        <v>26</v>
      </c>
      <c r="D63" s="3">
        <v>27</v>
      </c>
    </row>
    <row r="64" spans="1:4" ht="15.75" customHeight="1" x14ac:dyDescent="0.25">
      <c r="A64" s="2">
        <v>45712</v>
      </c>
      <c r="B64" s="3" t="s">
        <v>11</v>
      </c>
      <c r="C64" s="3" t="s">
        <v>5</v>
      </c>
      <c r="D64" s="3">
        <v>2</v>
      </c>
    </row>
    <row r="65" spans="1:4" ht="15.75" customHeight="1" x14ac:dyDescent="0.25">
      <c r="A65" s="2">
        <v>45671</v>
      </c>
      <c r="B65" s="3" t="s">
        <v>112</v>
      </c>
      <c r="C65" s="3" t="s">
        <v>31</v>
      </c>
      <c r="D65" s="3">
        <v>28</v>
      </c>
    </row>
    <row r="66" spans="1:4" ht="15.75" customHeight="1" x14ac:dyDescent="0.25">
      <c r="A66" s="2">
        <v>45717</v>
      </c>
      <c r="B66" s="3" t="s">
        <v>45</v>
      </c>
      <c r="C66" s="3" t="s">
        <v>24</v>
      </c>
      <c r="D66" s="3">
        <v>6</v>
      </c>
    </row>
    <row r="67" spans="1:4" ht="15.75" customHeight="1" x14ac:dyDescent="0.25">
      <c r="A67" s="2">
        <v>45667</v>
      </c>
      <c r="B67" s="3" t="s">
        <v>104</v>
      </c>
      <c r="C67" s="3" t="s">
        <v>5</v>
      </c>
      <c r="D67" s="3">
        <v>11</v>
      </c>
    </row>
    <row r="68" spans="1:4" ht="15.75" customHeight="1" x14ac:dyDescent="0.25">
      <c r="A68" s="2">
        <v>45701</v>
      </c>
      <c r="B68" s="3" t="s">
        <v>56</v>
      </c>
      <c r="C68" s="3" t="s">
        <v>5</v>
      </c>
      <c r="D68" s="3">
        <v>26</v>
      </c>
    </row>
    <row r="69" spans="1:4" ht="15.75" customHeight="1" x14ac:dyDescent="0.25">
      <c r="A69" s="2">
        <v>45710</v>
      </c>
      <c r="B69" s="3" t="s">
        <v>122</v>
      </c>
      <c r="C69" s="3" t="s">
        <v>26</v>
      </c>
      <c r="D69" s="3">
        <v>8</v>
      </c>
    </row>
    <row r="70" spans="1:4" ht="15.75" customHeight="1" x14ac:dyDescent="0.25">
      <c r="A70" s="2">
        <v>45737</v>
      </c>
      <c r="B70" s="3" t="s">
        <v>119</v>
      </c>
      <c r="C70" s="3" t="s">
        <v>16</v>
      </c>
      <c r="D70" s="3">
        <v>10</v>
      </c>
    </row>
    <row r="71" spans="1:4" ht="15.75" customHeight="1" x14ac:dyDescent="0.25">
      <c r="A71" s="2">
        <v>45711</v>
      </c>
      <c r="B71" s="3" t="s">
        <v>15</v>
      </c>
      <c r="C71" s="3" t="s">
        <v>16</v>
      </c>
      <c r="D71" s="3">
        <v>43</v>
      </c>
    </row>
    <row r="72" spans="1:4" ht="15.75" customHeight="1" x14ac:dyDescent="0.25">
      <c r="A72" s="2">
        <v>45745</v>
      </c>
      <c r="B72" s="3" t="s">
        <v>113</v>
      </c>
      <c r="C72" s="3" t="s">
        <v>85</v>
      </c>
      <c r="D72" s="3">
        <v>71</v>
      </c>
    </row>
    <row r="73" spans="1:4" ht="15.75" customHeight="1" x14ac:dyDescent="0.25">
      <c r="A73" s="2">
        <v>45685</v>
      </c>
      <c r="B73" s="3" t="s">
        <v>9</v>
      </c>
      <c r="C73" s="3" t="s">
        <v>8</v>
      </c>
      <c r="D73" s="3">
        <v>22</v>
      </c>
    </row>
    <row r="74" spans="1:4" ht="15.75" customHeight="1" x14ac:dyDescent="0.25">
      <c r="A74" s="2">
        <v>45744</v>
      </c>
      <c r="B74" s="3" t="s">
        <v>67</v>
      </c>
      <c r="C74" s="3" t="s">
        <v>39</v>
      </c>
      <c r="D74" s="3">
        <v>35</v>
      </c>
    </row>
    <row r="75" spans="1:4" ht="15.75" customHeight="1" x14ac:dyDescent="0.25">
      <c r="A75" s="2">
        <v>45744</v>
      </c>
      <c r="B75" s="3" t="s">
        <v>81</v>
      </c>
      <c r="C75" s="3" t="s">
        <v>82</v>
      </c>
      <c r="D75" s="3">
        <v>12</v>
      </c>
    </row>
    <row r="76" spans="1:4" ht="15.75" customHeight="1" x14ac:dyDescent="0.25">
      <c r="A76" s="2">
        <v>45725</v>
      </c>
      <c r="B76" s="3" t="s">
        <v>97</v>
      </c>
      <c r="C76" s="3" t="s">
        <v>52</v>
      </c>
      <c r="D76" s="3">
        <v>57</v>
      </c>
    </row>
    <row r="77" spans="1:4" ht="15.75" customHeight="1" x14ac:dyDescent="0.25">
      <c r="A77" s="2">
        <v>45702</v>
      </c>
      <c r="B77" s="3" t="s">
        <v>30</v>
      </c>
      <c r="C77" s="3" t="s">
        <v>31</v>
      </c>
      <c r="D77" s="3">
        <v>38</v>
      </c>
    </row>
    <row r="78" spans="1:4" ht="15.75" customHeight="1" x14ac:dyDescent="0.25">
      <c r="A78" s="2">
        <v>45698</v>
      </c>
      <c r="B78" s="3" t="s">
        <v>77</v>
      </c>
      <c r="C78" s="3" t="s">
        <v>50</v>
      </c>
      <c r="D78" s="3">
        <v>72</v>
      </c>
    </row>
    <row r="79" spans="1:4" ht="15.75" customHeight="1" x14ac:dyDescent="0.25">
      <c r="A79" s="2">
        <v>45657</v>
      </c>
      <c r="B79" s="3" t="s">
        <v>9</v>
      </c>
      <c r="C79" s="3" t="s">
        <v>8</v>
      </c>
      <c r="D79" s="3">
        <v>32</v>
      </c>
    </row>
    <row r="80" spans="1:4" ht="15.75" customHeight="1" x14ac:dyDescent="0.25">
      <c r="A80" s="2">
        <v>45687</v>
      </c>
      <c r="B80" s="3" t="s">
        <v>103</v>
      </c>
      <c r="C80" s="3" t="s">
        <v>26</v>
      </c>
      <c r="D80" s="3">
        <v>21</v>
      </c>
    </row>
    <row r="81" spans="1:4" ht="15.75" customHeight="1" x14ac:dyDescent="0.25">
      <c r="A81" s="2">
        <v>45711</v>
      </c>
      <c r="B81" s="3" t="s">
        <v>46</v>
      </c>
      <c r="C81" s="3" t="s">
        <v>20</v>
      </c>
      <c r="D81" s="3">
        <v>35</v>
      </c>
    </row>
    <row r="82" spans="1:4" ht="15.75" customHeight="1" x14ac:dyDescent="0.25">
      <c r="A82" s="2">
        <v>45688</v>
      </c>
      <c r="B82" s="3" t="s">
        <v>38</v>
      </c>
      <c r="C82" s="3" t="s">
        <v>39</v>
      </c>
      <c r="D82" s="3">
        <v>46</v>
      </c>
    </row>
    <row r="83" spans="1:4" ht="15.75" customHeight="1" x14ac:dyDescent="0.25">
      <c r="A83" s="2">
        <v>45746</v>
      </c>
      <c r="B83" s="3" t="s">
        <v>88</v>
      </c>
      <c r="C83" s="3" t="s">
        <v>75</v>
      </c>
      <c r="D83" s="3">
        <v>44</v>
      </c>
    </row>
    <row r="84" spans="1:4" ht="15.75" customHeight="1" x14ac:dyDescent="0.25">
      <c r="A84" s="2">
        <v>45733</v>
      </c>
      <c r="B84" s="3" t="s">
        <v>122</v>
      </c>
      <c r="C84" s="3" t="s">
        <v>26</v>
      </c>
      <c r="D84" s="3">
        <v>26</v>
      </c>
    </row>
    <row r="85" spans="1:4" ht="15.75" customHeight="1" x14ac:dyDescent="0.25">
      <c r="A85" s="2">
        <v>45704</v>
      </c>
      <c r="B85" s="3" t="s">
        <v>134</v>
      </c>
      <c r="C85" s="3" t="s">
        <v>85</v>
      </c>
      <c r="D85" s="3">
        <v>23</v>
      </c>
    </row>
    <row r="86" spans="1:4" ht="15.75" customHeight="1" x14ac:dyDescent="0.25">
      <c r="A86" s="2">
        <v>45742</v>
      </c>
      <c r="B86" s="3" t="s">
        <v>93</v>
      </c>
      <c r="C86" s="3" t="s">
        <v>82</v>
      </c>
      <c r="D86" s="3">
        <v>27</v>
      </c>
    </row>
    <row r="87" spans="1:4" ht="15.75" customHeight="1" x14ac:dyDescent="0.25">
      <c r="A87" s="2">
        <v>45721</v>
      </c>
      <c r="B87" s="3" t="s">
        <v>29</v>
      </c>
      <c r="C87" s="3" t="s">
        <v>16</v>
      </c>
      <c r="D87" s="3">
        <v>65</v>
      </c>
    </row>
    <row r="88" spans="1:4" ht="15.75" customHeight="1" x14ac:dyDescent="0.25">
      <c r="A88" s="2">
        <v>45667</v>
      </c>
      <c r="B88" s="3" t="s">
        <v>63</v>
      </c>
      <c r="C88" s="3" t="s">
        <v>26</v>
      </c>
      <c r="D88" s="3">
        <v>34</v>
      </c>
    </row>
    <row r="89" spans="1:4" ht="15.75" customHeight="1" x14ac:dyDescent="0.25">
      <c r="A89" s="2">
        <v>45725</v>
      </c>
      <c r="B89" s="3" t="s">
        <v>68</v>
      </c>
      <c r="C89" s="3" t="s">
        <v>62</v>
      </c>
      <c r="D89" s="3">
        <v>35</v>
      </c>
    </row>
    <row r="90" spans="1:4" ht="15.75" customHeight="1" x14ac:dyDescent="0.25">
      <c r="A90" s="2">
        <v>45688</v>
      </c>
      <c r="B90" s="3" t="s">
        <v>64</v>
      </c>
      <c r="C90" s="3" t="s">
        <v>41</v>
      </c>
      <c r="D90" s="3">
        <v>68</v>
      </c>
    </row>
    <row r="91" spans="1:4" ht="15.75" customHeight="1" x14ac:dyDescent="0.25">
      <c r="A91" s="2">
        <v>45675</v>
      </c>
      <c r="B91" s="3" t="s">
        <v>83</v>
      </c>
      <c r="C91" s="3" t="s">
        <v>5</v>
      </c>
      <c r="D91" s="3">
        <v>57</v>
      </c>
    </row>
    <row r="92" spans="1:4" ht="15.75" customHeight="1" x14ac:dyDescent="0.25">
      <c r="A92" s="2">
        <v>45726</v>
      </c>
      <c r="B92" s="3" t="s">
        <v>134</v>
      </c>
      <c r="C92" s="3" t="s">
        <v>85</v>
      </c>
      <c r="D92" s="3">
        <v>8</v>
      </c>
    </row>
    <row r="93" spans="1:4" ht="15.75" customHeight="1" x14ac:dyDescent="0.25">
      <c r="A93" s="2">
        <v>45732</v>
      </c>
      <c r="B93" s="3" t="s">
        <v>77</v>
      </c>
      <c r="C93" s="3" t="s">
        <v>50</v>
      </c>
      <c r="D93" s="3">
        <v>60</v>
      </c>
    </row>
    <row r="94" spans="1:4" ht="15.75" customHeight="1" x14ac:dyDescent="0.25">
      <c r="A94" s="2">
        <v>45674</v>
      </c>
      <c r="B94" s="3" t="s">
        <v>19</v>
      </c>
      <c r="C94" s="3" t="s">
        <v>20</v>
      </c>
      <c r="D94" s="3">
        <v>74</v>
      </c>
    </row>
    <row r="95" spans="1:4" ht="15.75" customHeight="1" x14ac:dyDescent="0.25">
      <c r="A95" s="2">
        <v>45671</v>
      </c>
      <c r="B95" s="3" t="s">
        <v>66</v>
      </c>
      <c r="C95" s="3" t="s">
        <v>52</v>
      </c>
      <c r="D95" s="3">
        <v>76</v>
      </c>
    </row>
    <row r="96" spans="1:4" ht="15.75" customHeight="1" x14ac:dyDescent="0.25">
      <c r="A96" s="2">
        <v>45711</v>
      </c>
      <c r="B96" s="3" t="s">
        <v>59</v>
      </c>
      <c r="C96" s="3" t="s">
        <v>16</v>
      </c>
      <c r="D96" s="3">
        <v>10</v>
      </c>
    </row>
    <row r="97" spans="1:4" ht="15.75" customHeight="1" x14ac:dyDescent="0.25">
      <c r="A97" s="2">
        <v>45702</v>
      </c>
      <c r="B97" s="3" t="s">
        <v>71</v>
      </c>
      <c r="C97" s="3" t="s">
        <v>20</v>
      </c>
      <c r="D97" s="3">
        <v>13</v>
      </c>
    </row>
    <row r="98" spans="1:4" ht="15.75" customHeight="1" x14ac:dyDescent="0.25">
      <c r="A98" s="2">
        <v>45744</v>
      </c>
      <c r="B98" s="3" t="s">
        <v>4</v>
      </c>
      <c r="C98" s="3" t="s">
        <v>5</v>
      </c>
      <c r="D98" s="3">
        <v>58</v>
      </c>
    </row>
    <row r="99" spans="1:4" ht="15.75" customHeight="1" x14ac:dyDescent="0.25">
      <c r="A99" s="2">
        <v>45735</v>
      </c>
      <c r="B99" s="3" t="s">
        <v>87</v>
      </c>
      <c r="C99" s="3" t="s">
        <v>39</v>
      </c>
      <c r="D99" s="3">
        <v>34</v>
      </c>
    </row>
    <row r="100" spans="1:4" ht="15.75" customHeight="1" x14ac:dyDescent="0.25">
      <c r="A100" s="2">
        <v>45687</v>
      </c>
      <c r="B100" s="3" t="s">
        <v>25</v>
      </c>
      <c r="C100" s="3" t="s">
        <v>26</v>
      </c>
      <c r="D100" s="3">
        <v>23</v>
      </c>
    </row>
    <row r="101" spans="1:4" ht="15.75" customHeight="1" x14ac:dyDescent="0.25">
      <c r="A101" s="2">
        <v>45717</v>
      </c>
      <c r="B101" s="3" t="s">
        <v>93</v>
      </c>
      <c r="C101" s="3" t="s">
        <v>82</v>
      </c>
      <c r="D101" s="3">
        <v>63</v>
      </c>
    </row>
    <row r="102" spans="1:4" ht="15.75" customHeight="1" x14ac:dyDescent="0.25">
      <c r="A102" s="2">
        <v>45738</v>
      </c>
      <c r="B102" s="3" t="s">
        <v>59</v>
      </c>
      <c r="C102" s="3" t="s">
        <v>16</v>
      </c>
      <c r="D102" s="3">
        <v>69</v>
      </c>
    </row>
    <row r="103" spans="1:4" ht="15.75" customHeight="1" x14ac:dyDescent="0.25">
      <c r="A103" s="2">
        <v>45664</v>
      </c>
      <c r="B103" s="3" t="s">
        <v>66</v>
      </c>
      <c r="C103" s="3" t="s">
        <v>52</v>
      </c>
      <c r="D103" s="3">
        <v>74</v>
      </c>
    </row>
    <row r="104" spans="1:4" ht="15.75" customHeight="1" x14ac:dyDescent="0.25">
      <c r="A104" s="2">
        <v>45716</v>
      </c>
      <c r="B104" s="3" t="s">
        <v>90</v>
      </c>
      <c r="C104" s="3" t="s">
        <v>39</v>
      </c>
      <c r="D104" s="3">
        <v>5</v>
      </c>
    </row>
    <row r="105" spans="1:4" ht="15.75" customHeight="1" x14ac:dyDescent="0.25">
      <c r="A105" s="2">
        <v>45661</v>
      </c>
      <c r="B105" s="3" t="s">
        <v>68</v>
      </c>
      <c r="C105" s="3" t="s">
        <v>62</v>
      </c>
      <c r="D105" s="3">
        <v>27</v>
      </c>
    </row>
    <row r="106" spans="1:4" ht="15.75" customHeight="1" x14ac:dyDescent="0.25">
      <c r="A106" s="2">
        <v>45704</v>
      </c>
      <c r="B106" s="3" t="s">
        <v>133</v>
      </c>
      <c r="C106" s="3" t="s">
        <v>24</v>
      </c>
      <c r="D106" s="3">
        <v>6</v>
      </c>
    </row>
    <row r="107" spans="1:4" ht="15.75" customHeight="1" x14ac:dyDescent="0.25">
      <c r="A107" s="2">
        <v>45731</v>
      </c>
      <c r="B107" s="3" t="s">
        <v>124</v>
      </c>
      <c r="C107" s="3" t="s">
        <v>26</v>
      </c>
      <c r="D107" s="3">
        <v>63</v>
      </c>
    </row>
    <row r="108" spans="1:4" ht="15.75" customHeight="1" x14ac:dyDescent="0.25">
      <c r="A108" s="2">
        <v>45671</v>
      </c>
      <c r="B108" s="3" t="s">
        <v>108</v>
      </c>
      <c r="C108" s="3" t="s">
        <v>109</v>
      </c>
      <c r="D108" s="3">
        <v>53</v>
      </c>
    </row>
    <row r="109" spans="1:4" ht="15.75" customHeight="1" x14ac:dyDescent="0.25">
      <c r="A109" s="2">
        <v>45700</v>
      </c>
      <c r="B109" s="3" t="s">
        <v>115</v>
      </c>
      <c r="C109" s="3" t="s">
        <v>50</v>
      </c>
      <c r="D109" s="3">
        <v>55</v>
      </c>
    </row>
    <row r="110" spans="1:4" ht="15.75" customHeight="1" x14ac:dyDescent="0.25">
      <c r="A110" s="2">
        <v>45732</v>
      </c>
      <c r="B110" s="3" t="s">
        <v>138</v>
      </c>
      <c r="C110" s="3" t="s">
        <v>85</v>
      </c>
      <c r="D110" s="3">
        <v>23</v>
      </c>
    </row>
    <row r="111" spans="1:4" ht="15.75" customHeight="1" x14ac:dyDescent="0.25">
      <c r="A111" s="2">
        <v>45658</v>
      </c>
      <c r="B111" s="3" t="s">
        <v>113</v>
      </c>
      <c r="C111" s="3" t="s">
        <v>85</v>
      </c>
      <c r="D111" s="3">
        <v>37</v>
      </c>
    </row>
    <row r="112" spans="1:4" ht="15.75" customHeight="1" x14ac:dyDescent="0.25">
      <c r="A112" s="2">
        <v>45686</v>
      </c>
      <c r="B112" s="3" t="s">
        <v>118</v>
      </c>
      <c r="C112" s="3" t="s">
        <v>52</v>
      </c>
      <c r="D112" s="3">
        <v>70</v>
      </c>
    </row>
    <row r="113" spans="1:4" ht="15.75" customHeight="1" x14ac:dyDescent="0.25">
      <c r="A113" s="2">
        <v>45696</v>
      </c>
      <c r="B113" s="3" t="s">
        <v>104</v>
      </c>
      <c r="C113" s="3" t="s">
        <v>5</v>
      </c>
      <c r="D113" s="3">
        <v>14</v>
      </c>
    </row>
    <row r="114" spans="1:4" ht="15.75" customHeight="1" x14ac:dyDescent="0.25">
      <c r="A114" s="2">
        <v>45720</v>
      </c>
      <c r="B114" s="3" t="s">
        <v>48</v>
      </c>
      <c r="C114" s="3" t="s">
        <v>22</v>
      </c>
      <c r="D114" s="3">
        <v>35</v>
      </c>
    </row>
    <row r="115" spans="1:4" ht="15.75" customHeight="1" x14ac:dyDescent="0.25">
      <c r="A115" s="2">
        <v>45687</v>
      </c>
      <c r="B115" s="3" t="s">
        <v>140</v>
      </c>
      <c r="C115" s="3" t="s">
        <v>85</v>
      </c>
      <c r="D115" s="3">
        <v>51</v>
      </c>
    </row>
    <row r="116" spans="1:4" ht="15.75" customHeight="1" x14ac:dyDescent="0.25">
      <c r="A116" s="2">
        <v>45739</v>
      </c>
      <c r="B116" s="3" t="s">
        <v>83</v>
      </c>
      <c r="C116" s="3" t="s">
        <v>5</v>
      </c>
      <c r="D116" s="3">
        <v>18</v>
      </c>
    </row>
    <row r="117" spans="1:4" ht="15.75" customHeight="1" x14ac:dyDescent="0.25">
      <c r="A117" s="2">
        <v>45735</v>
      </c>
      <c r="B117" s="3" t="s">
        <v>81</v>
      </c>
      <c r="C117" s="3" t="s">
        <v>82</v>
      </c>
      <c r="D117" s="3">
        <v>57</v>
      </c>
    </row>
    <row r="118" spans="1:4" ht="15.75" customHeight="1" x14ac:dyDescent="0.25">
      <c r="A118" s="2">
        <v>45706</v>
      </c>
      <c r="B118" s="3" t="s">
        <v>139</v>
      </c>
      <c r="C118" s="3" t="s">
        <v>109</v>
      </c>
      <c r="D118" s="3">
        <v>42</v>
      </c>
    </row>
    <row r="119" spans="1:4" ht="15.75" customHeight="1" x14ac:dyDescent="0.25">
      <c r="A119" s="2">
        <v>45664</v>
      </c>
      <c r="B119" s="3" t="s">
        <v>110</v>
      </c>
      <c r="C119" s="3" t="s">
        <v>8</v>
      </c>
      <c r="D119" s="3">
        <v>12</v>
      </c>
    </row>
    <row r="120" spans="1:4" ht="15.75" customHeight="1" x14ac:dyDescent="0.25">
      <c r="A120" s="2">
        <v>45680</v>
      </c>
      <c r="B120" s="3" t="s">
        <v>51</v>
      </c>
      <c r="C120" s="3" t="s">
        <v>52</v>
      </c>
      <c r="D120" s="3">
        <v>33</v>
      </c>
    </row>
    <row r="121" spans="1:4" ht="15.75" customHeight="1" x14ac:dyDescent="0.25">
      <c r="A121" s="2">
        <v>45689</v>
      </c>
      <c r="B121" s="3" t="s">
        <v>127</v>
      </c>
      <c r="C121" s="3" t="s">
        <v>22</v>
      </c>
      <c r="D121" s="3">
        <v>44</v>
      </c>
    </row>
    <row r="122" spans="1:4" ht="15.75" customHeight="1" x14ac:dyDescent="0.25">
      <c r="A122" s="2">
        <v>45730</v>
      </c>
      <c r="B122" s="3" t="s">
        <v>66</v>
      </c>
      <c r="C122" s="3" t="s">
        <v>52</v>
      </c>
      <c r="D122" s="3">
        <v>70</v>
      </c>
    </row>
    <row r="123" spans="1:4" ht="15.75" customHeight="1" x14ac:dyDescent="0.25">
      <c r="A123" s="2">
        <v>45698</v>
      </c>
      <c r="B123" s="3" t="s">
        <v>12</v>
      </c>
      <c r="C123" s="3" t="s">
        <v>13</v>
      </c>
      <c r="D123" s="3">
        <v>63</v>
      </c>
    </row>
    <row r="124" spans="1:4" ht="15.75" customHeight="1" x14ac:dyDescent="0.25">
      <c r="A124" s="2">
        <v>45669</v>
      </c>
      <c r="B124" s="3" t="s">
        <v>73</v>
      </c>
      <c r="C124" s="3" t="s">
        <v>13</v>
      </c>
      <c r="D124" s="3">
        <v>2</v>
      </c>
    </row>
    <row r="125" spans="1:4" ht="15.75" customHeight="1" x14ac:dyDescent="0.25">
      <c r="A125" s="2">
        <v>45673</v>
      </c>
      <c r="B125" s="3" t="s">
        <v>68</v>
      </c>
      <c r="C125" s="3" t="s">
        <v>62</v>
      </c>
      <c r="D125" s="3">
        <v>40</v>
      </c>
    </row>
    <row r="126" spans="1:4" ht="15.75" customHeight="1" x14ac:dyDescent="0.25">
      <c r="A126" s="2">
        <v>45684</v>
      </c>
      <c r="B126" s="3" t="s">
        <v>130</v>
      </c>
      <c r="C126" s="3" t="s">
        <v>52</v>
      </c>
      <c r="D126" s="3">
        <v>39</v>
      </c>
    </row>
    <row r="127" spans="1:4" ht="15.75" customHeight="1" x14ac:dyDescent="0.25">
      <c r="A127" s="2">
        <v>45680</v>
      </c>
      <c r="B127" s="3" t="s">
        <v>67</v>
      </c>
      <c r="C127" s="3" t="s">
        <v>39</v>
      </c>
      <c r="D127" s="3">
        <v>80</v>
      </c>
    </row>
    <row r="128" spans="1:4" ht="15.75" customHeight="1" x14ac:dyDescent="0.25">
      <c r="A128" s="2">
        <v>45738</v>
      </c>
      <c r="B128" s="3" t="s">
        <v>110</v>
      </c>
      <c r="C128" s="3" t="s">
        <v>8</v>
      </c>
      <c r="D128" s="3">
        <v>3</v>
      </c>
    </row>
    <row r="129" spans="1:4" ht="15.75" customHeight="1" x14ac:dyDescent="0.25">
      <c r="A129" s="2">
        <v>45661</v>
      </c>
      <c r="B129" s="3" t="s">
        <v>108</v>
      </c>
      <c r="C129" s="3" t="s">
        <v>109</v>
      </c>
      <c r="D129" s="3">
        <v>37</v>
      </c>
    </row>
    <row r="130" spans="1:4" ht="15.75" customHeight="1" x14ac:dyDescent="0.25">
      <c r="A130" s="2">
        <v>45728</v>
      </c>
      <c r="B130" s="3" t="s">
        <v>42</v>
      </c>
      <c r="C130" s="3" t="s">
        <v>24</v>
      </c>
      <c r="D130" s="3">
        <v>58</v>
      </c>
    </row>
    <row r="131" spans="1:4" ht="15.75" customHeight="1" x14ac:dyDescent="0.25">
      <c r="A131" s="2">
        <v>45661</v>
      </c>
      <c r="B131" s="3" t="s">
        <v>17</v>
      </c>
      <c r="C131" s="3" t="s">
        <v>16</v>
      </c>
      <c r="D131" s="3">
        <v>9</v>
      </c>
    </row>
    <row r="132" spans="1:4" ht="15.75" customHeight="1" x14ac:dyDescent="0.25">
      <c r="A132" s="2">
        <v>45685</v>
      </c>
      <c r="B132" s="3" t="s">
        <v>70</v>
      </c>
      <c r="C132" s="3" t="s">
        <v>52</v>
      </c>
      <c r="D132" s="3">
        <v>23</v>
      </c>
    </row>
    <row r="133" spans="1:4" ht="15.75" customHeight="1" x14ac:dyDescent="0.25">
      <c r="A133" s="2">
        <v>45697</v>
      </c>
      <c r="B133" s="3" t="s">
        <v>45</v>
      </c>
      <c r="C133" s="3" t="s">
        <v>24</v>
      </c>
      <c r="D133" s="3">
        <v>7</v>
      </c>
    </row>
    <row r="134" spans="1:4" ht="15.75" customHeight="1" x14ac:dyDescent="0.25">
      <c r="A134" s="2">
        <v>45740</v>
      </c>
      <c r="B134" s="3" t="s">
        <v>59</v>
      </c>
      <c r="C134" s="3" t="s">
        <v>16</v>
      </c>
      <c r="D134" s="3">
        <v>38</v>
      </c>
    </row>
    <row r="135" spans="1:4" ht="15.75" customHeight="1" x14ac:dyDescent="0.25">
      <c r="A135" s="2">
        <v>45712</v>
      </c>
      <c r="B135" s="3" t="s">
        <v>45</v>
      </c>
      <c r="C135" s="3" t="s">
        <v>24</v>
      </c>
      <c r="D135" s="3">
        <v>56</v>
      </c>
    </row>
    <row r="136" spans="1:4" ht="15.75" customHeight="1" x14ac:dyDescent="0.25">
      <c r="A136" s="2">
        <v>45735</v>
      </c>
      <c r="B136" s="3" t="s">
        <v>128</v>
      </c>
      <c r="C136" s="3" t="s">
        <v>82</v>
      </c>
      <c r="D136" s="3">
        <v>4</v>
      </c>
    </row>
    <row r="137" spans="1:4" ht="15.75" customHeight="1" x14ac:dyDescent="0.25">
      <c r="A137" s="2">
        <v>45689</v>
      </c>
      <c r="B137" s="3" t="s">
        <v>133</v>
      </c>
      <c r="C137" s="3" t="s">
        <v>24</v>
      </c>
      <c r="D137" s="3">
        <v>79</v>
      </c>
    </row>
    <row r="138" spans="1:4" ht="15.75" customHeight="1" x14ac:dyDescent="0.25">
      <c r="A138" s="2">
        <v>45698</v>
      </c>
      <c r="B138" s="3" t="s">
        <v>140</v>
      </c>
      <c r="C138" s="3" t="s">
        <v>85</v>
      </c>
      <c r="D138" s="3">
        <v>1</v>
      </c>
    </row>
    <row r="139" spans="1:4" ht="15.75" customHeight="1" x14ac:dyDescent="0.25">
      <c r="A139" s="2">
        <v>45664</v>
      </c>
      <c r="B139" s="3" t="s">
        <v>130</v>
      </c>
      <c r="C139" s="3" t="s">
        <v>52</v>
      </c>
      <c r="D139" s="3">
        <v>27</v>
      </c>
    </row>
    <row r="140" spans="1:4" ht="15.75" customHeight="1" x14ac:dyDescent="0.25">
      <c r="A140" s="2">
        <v>45722</v>
      </c>
      <c r="B140" s="3" t="s">
        <v>96</v>
      </c>
      <c r="C140" s="3" t="s">
        <v>50</v>
      </c>
      <c r="D140" s="3">
        <v>49</v>
      </c>
    </row>
    <row r="141" spans="1:4" ht="15.75" customHeight="1" x14ac:dyDescent="0.25">
      <c r="A141" s="2">
        <v>45715</v>
      </c>
      <c r="B141" s="3" t="s">
        <v>129</v>
      </c>
      <c r="C141" s="3" t="s">
        <v>41</v>
      </c>
      <c r="D141" s="3">
        <v>2</v>
      </c>
    </row>
    <row r="142" spans="1:4" ht="15.75" customHeight="1" x14ac:dyDescent="0.25">
      <c r="A142" s="2">
        <v>45725</v>
      </c>
      <c r="B142" s="3" t="s">
        <v>48</v>
      </c>
      <c r="C142" s="3" t="s">
        <v>22</v>
      </c>
      <c r="D142" s="3">
        <v>33</v>
      </c>
    </row>
    <row r="143" spans="1:4" ht="15.75" customHeight="1" x14ac:dyDescent="0.25">
      <c r="A143" s="2">
        <v>45679</v>
      </c>
      <c r="B143" s="3" t="s">
        <v>106</v>
      </c>
      <c r="C143" s="3" t="s">
        <v>50</v>
      </c>
      <c r="D143" s="3">
        <v>17</v>
      </c>
    </row>
    <row r="144" spans="1:4" ht="15.75" customHeight="1" x14ac:dyDescent="0.25">
      <c r="A144" s="2">
        <v>45667</v>
      </c>
      <c r="B144" s="3" t="s">
        <v>4</v>
      </c>
      <c r="C144" s="3" t="s">
        <v>5</v>
      </c>
      <c r="D144" s="3">
        <v>80</v>
      </c>
    </row>
    <row r="145" spans="1:4" ht="15.75" customHeight="1" x14ac:dyDescent="0.25">
      <c r="A145" s="2">
        <v>45685</v>
      </c>
      <c r="B145" s="3" t="s">
        <v>118</v>
      </c>
      <c r="C145" s="3" t="s">
        <v>52</v>
      </c>
      <c r="D145" s="3">
        <v>35</v>
      </c>
    </row>
    <row r="146" spans="1:4" ht="15.75" customHeight="1" x14ac:dyDescent="0.25">
      <c r="A146" s="2">
        <v>45701</v>
      </c>
      <c r="B146" s="3" t="s">
        <v>135</v>
      </c>
      <c r="C146" s="3" t="s">
        <v>62</v>
      </c>
      <c r="D146" s="3">
        <v>24</v>
      </c>
    </row>
    <row r="147" spans="1:4" ht="15.75" customHeight="1" x14ac:dyDescent="0.25">
      <c r="A147" s="2">
        <v>45713</v>
      </c>
      <c r="B147" s="3" t="s">
        <v>56</v>
      </c>
      <c r="C147" s="3" t="s">
        <v>5</v>
      </c>
      <c r="D147" s="3">
        <v>30</v>
      </c>
    </row>
    <row r="148" spans="1:4" ht="15.75" customHeight="1" x14ac:dyDescent="0.25">
      <c r="A148" s="2">
        <v>45738</v>
      </c>
      <c r="B148" s="3" t="s">
        <v>96</v>
      </c>
      <c r="C148" s="3" t="s">
        <v>50</v>
      </c>
      <c r="D148" s="3">
        <v>1</v>
      </c>
    </row>
    <row r="149" spans="1:4" ht="15.75" customHeight="1" x14ac:dyDescent="0.25">
      <c r="A149" s="2">
        <v>45703</v>
      </c>
      <c r="B149" s="3" t="s">
        <v>70</v>
      </c>
      <c r="C149" s="3" t="s">
        <v>52</v>
      </c>
      <c r="D149" s="3">
        <v>23</v>
      </c>
    </row>
    <row r="150" spans="1:4" ht="15.75" customHeight="1" x14ac:dyDescent="0.25">
      <c r="A150" s="2">
        <v>45709</v>
      </c>
      <c r="B150" s="3" t="s">
        <v>124</v>
      </c>
      <c r="C150" s="3" t="s">
        <v>26</v>
      </c>
      <c r="D150" s="3">
        <v>20</v>
      </c>
    </row>
    <row r="151" spans="1:4" ht="15.75" customHeight="1" x14ac:dyDescent="0.25">
      <c r="A151" s="2">
        <v>45691</v>
      </c>
      <c r="B151" s="3" t="s">
        <v>63</v>
      </c>
      <c r="C151" s="3" t="s">
        <v>26</v>
      </c>
      <c r="D151" s="3">
        <v>51</v>
      </c>
    </row>
    <row r="152" spans="1:4" ht="15.75" customHeight="1" x14ac:dyDescent="0.25">
      <c r="A152" s="2">
        <v>45670</v>
      </c>
      <c r="B152" s="3" t="s">
        <v>118</v>
      </c>
      <c r="C152" s="3" t="s">
        <v>52</v>
      </c>
      <c r="D152" s="3">
        <v>50</v>
      </c>
    </row>
    <row r="153" spans="1:4" ht="15.75" customHeight="1" x14ac:dyDescent="0.25">
      <c r="A153" s="2">
        <v>45745</v>
      </c>
      <c r="B153" s="3" t="s">
        <v>139</v>
      </c>
      <c r="C153" s="3" t="s">
        <v>109</v>
      </c>
      <c r="D153" s="3">
        <v>27</v>
      </c>
    </row>
    <row r="154" spans="1:4" ht="15.75" customHeight="1" x14ac:dyDescent="0.25">
      <c r="A154" s="2">
        <v>45694</v>
      </c>
      <c r="B154" s="3" t="s">
        <v>65</v>
      </c>
      <c r="C154" s="3" t="s">
        <v>5</v>
      </c>
      <c r="D154" s="3">
        <v>10</v>
      </c>
    </row>
    <row r="155" spans="1:4" ht="15.75" customHeight="1" x14ac:dyDescent="0.25">
      <c r="A155" s="2">
        <v>45731</v>
      </c>
      <c r="B155" s="3" t="s">
        <v>117</v>
      </c>
      <c r="C155" s="3" t="s">
        <v>28</v>
      </c>
      <c r="D155" s="3">
        <v>53</v>
      </c>
    </row>
    <row r="156" spans="1:4" ht="15.75" customHeight="1" x14ac:dyDescent="0.25">
      <c r="A156" s="2">
        <v>45716</v>
      </c>
      <c r="B156" s="3" t="s">
        <v>97</v>
      </c>
      <c r="C156" s="3" t="s">
        <v>52</v>
      </c>
      <c r="D156" s="3">
        <v>63</v>
      </c>
    </row>
    <row r="157" spans="1:4" ht="15.75" customHeight="1" x14ac:dyDescent="0.25">
      <c r="A157" s="2">
        <v>45707</v>
      </c>
      <c r="B157" s="3" t="s">
        <v>104</v>
      </c>
      <c r="C157" s="3" t="s">
        <v>5</v>
      </c>
      <c r="D157" s="3">
        <v>27</v>
      </c>
    </row>
    <row r="158" spans="1:4" ht="15.75" customHeight="1" x14ac:dyDescent="0.25">
      <c r="A158" s="2">
        <v>45666</v>
      </c>
      <c r="B158" s="3" t="s">
        <v>63</v>
      </c>
      <c r="C158" s="3" t="s">
        <v>26</v>
      </c>
      <c r="D158" s="3">
        <v>75</v>
      </c>
    </row>
    <row r="159" spans="1:4" ht="15.75" customHeight="1" x14ac:dyDescent="0.25">
      <c r="A159" s="2">
        <v>45685</v>
      </c>
      <c r="B159" s="3" t="s">
        <v>74</v>
      </c>
      <c r="C159" s="3" t="s">
        <v>75</v>
      </c>
      <c r="D159" s="3">
        <v>54</v>
      </c>
    </row>
    <row r="160" spans="1:4" ht="15.75" customHeight="1" x14ac:dyDescent="0.25">
      <c r="A160" s="2">
        <v>45692</v>
      </c>
      <c r="B160" s="3" t="s">
        <v>10</v>
      </c>
      <c r="C160" s="3" t="s">
        <v>8</v>
      </c>
      <c r="D160" s="3">
        <v>34</v>
      </c>
    </row>
    <row r="161" spans="1:4" ht="15.75" customHeight="1" x14ac:dyDescent="0.25">
      <c r="A161" s="2">
        <v>45666</v>
      </c>
      <c r="B161" s="3" t="s">
        <v>88</v>
      </c>
      <c r="C161" s="3" t="s">
        <v>75</v>
      </c>
      <c r="D161" s="3">
        <v>64</v>
      </c>
    </row>
    <row r="162" spans="1:4" ht="15.75" customHeight="1" x14ac:dyDescent="0.25">
      <c r="A162" s="2">
        <v>45667</v>
      </c>
      <c r="B162" s="3" t="s">
        <v>105</v>
      </c>
      <c r="C162" s="3" t="s">
        <v>79</v>
      </c>
      <c r="D162" s="3">
        <v>15</v>
      </c>
    </row>
    <row r="163" spans="1:4" ht="15.75" customHeight="1" x14ac:dyDescent="0.25">
      <c r="A163" s="2">
        <v>45742</v>
      </c>
      <c r="B163" s="3" t="s">
        <v>53</v>
      </c>
      <c r="C163" s="3" t="s">
        <v>50</v>
      </c>
      <c r="D163" s="3">
        <v>45</v>
      </c>
    </row>
    <row r="164" spans="1:4" ht="15.75" customHeight="1" x14ac:dyDescent="0.25">
      <c r="A164" s="2">
        <v>45667</v>
      </c>
      <c r="B164" s="3" t="s">
        <v>69</v>
      </c>
      <c r="C164" s="3" t="s">
        <v>24</v>
      </c>
      <c r="D164" s="3">
        <v>74</v>
      </c>
    </row>
    <row r="165" spans="1:4" ht="15.75" customHeight="1" x14ac:dyDescent="0.25">
      <c r="A165" s="2">
        <v>45688</v>
      </c>
      <c r="B165" s="3" t="s">
        <v>49</v>
      </c>
      <c r="C165" s="3" t="s">
        <v>50</v>
      </c>
      <c r="D165" s="3">
        <v>40</v>
      </c>
    </row>
    <row r="166" spans="1:4" ht="15.75" customHeight="1" x14ac:dyDescent="0.25">
      <c r="A166" s="2">
        <v>45727</v>
      </c>
      <c r="B166" s="3" t="s">
        <v>55</v>
      </c>
      <c r="C166" s="3" t="s">
        <v>24</v>
      </c>
      <c r="D166" s="3">
        <v>2</v>
      </c>
    </row>
    <row r="167" spans="1:4" ht="15.75" customHeight="1" x14ac:dyDescent="0.25">
      <c r="A167" s="2">
        <v>45711</v>
      </c>
      <c r="B167" s="3" t="s">
        <v>71</v>
      </c>
      <c r="C167" s="3" t="s">
        <v>20</v>
      </c>
      <c r="D167" s="3">
        <v>41</v>
      </c>
    </row>
    <row r="168" spans="1:4" ht="15.75" customHeight="1" x14ac:dyDescent="0.25">
      <c r="A168" s="2">
        <v>45738</v>
      </c>
      <c r="B168" s="3" t="s">
        <v>17</v>
      </c>
      <c r="C168" s="3" t="s">
        <v>16</v>
      </c>
      <c r="D168" s="3">
        <v>57</v>
      </c>
    </row>
    <row r="169" spans="1:4" ht="15.75" customHeight="1" x14ac:dyDescent="0.25">
      <c r="A169" s="2">
        <v>45718</v>
      </c>
      <c r="B169" s="3" t="s">
        <v>19</v>
      </c>
      <c r="C169" s="3" t="s">
        <v>20</v>
      </c>
      <c r="D169" s="3">
        <v>33</v>
      </c>
    </row>
    <row r="170" spans="1:4" ht="15.75" customHeight="1" x14ac:dyDescent="0.25">
      <c r="A170" s="2">
        <v>45696</v>
      </c>
      <c r="B170" s="3" t="s">
        <v>19</v>
      </c>
      <c r="C170" s="3" t="s">
        <v>20</v>
      </c>
      <c r="D170" s="3">
        <v>63</v>
      </c>
    </row>
    <row r="171" spans="1:4" ht="15.75" customHeight="1" x14ac:dyDescent="0.25">
      <c r="A171" s="2">
        <v>45678</v>
      </c>
      <c r="B171" s="3" t="s">
        <v>111</v>
      </c>
      <c r="C171" s="3" t="s">
        <v>109</v>
      </c>
      <c r="D171" s="3">
        <v>56</v>
      </c>
    </row>
    <row r="172" spans="1:4" ht="15.75" customHeight="1" x14ac:dyDescent="0.25">
      <c r="A172" s="2">
        <v>45678</v>
      </c>
      <c r="B172" s="3" t="s">
        <v>18</v>
      </c>
      <c r="C172" s="3" t="s">
        <v>13</v>
      </c>
      <c r="D172" s="3">
        <v>64</v>
      </c>
    </row>
    <row r="173" spans="1:4" ht="15.75" customHeight="1" x14ac:dyDescent="0.25">
      <c r="A173" s="2">
        <v>45701</v>
      </c>
      <c r="B173" s="3" t="s">
        <v>72</v>
      </c>
      <c r="C173" s="3" t="s">
        <v>13</v>
      </c>
      <c r="D173" s="3">
        <v>75</v>
      </c>
    </row>
    <row r="174" spans="1:4" ht="15.75" customHeight="1" x14ac:dyDescent="0.25">
      <c r="A174" s="2">
        <v>45691</v>
      </c>
      <c r="B174" s="3" t="s">
        <v>101</v>
      </c>
      <c r="C174" s="3" t="s">
        <v>24</v>
      </c>
      <c r="D174" s="3">
        <v>63</v>
      </c>
    </row>
    <row r="175" spans="1:4" ht="15.75" customHeight="1" x14ac:dyDescent="0.25">
      <c r="A175" s="2">
        <v>45681</v>
      </c>
      <c r="B175" s="3" t="s">
        <v>48</v>
      </c>
      <c r="C175" s="3" t="s">
        <v>22</v>
      </c>
      <c r="D175" s="3">
        <v>6</v>
      </c>
    </row>
    <row r="176" spans="1:4" ht="15.75" customHeight="1" x14ac:dyDescent="0.25">
      <c r="A176" s="2">
        <v>45672</v>
      </c>
      <c r="B176" s="3" t="s">
        <v>139</v>
      </c>
      <c r="C176" s="3" t="s">
        <v>109</v>
      </c>
      <c r="D176" s="3">
        <v>36</v>
      </c>
    </row>
    <row r="177" spans="1:4" ht="15.75" customHeight="1" x14ac:dyDescent="0.25">
      <c r="A177" s="2">
        <v>45698</v>
      </c>
      <c r="B177" s="3" t="s">
        <v>70</v>
      </c>
      <c r="C177" s="3" t="s">
        <v>52</v>
      </c>
      <c r="D177" s="3">
        <v>40</v>
      </c>
    </row>
    <row r="178" spans="1:4" ht="15.75" customHeight="1" x14ac:dyDescent="0.25">
      <c r="A178" s="2">
        <v>45697</v>
      </c>
      <c r="B178" s="3" t="s">
        <v>53</v>
      </c>
      <c r="C178" s="3" t="s">
        <v>50</v>
      </c>
      <c r="D178" s="3">
        <v>11</v>
      </c>
    </row>
    <row r="179" spans="1:4" ht="15.75" customHeight="1" x14ac:dyDescent="0.25">
      <c r="A179" s="2">
        <v>45672</v>
      </c>
      <c r="B179" s="3" t="s">
        <v>98</v>
      </c>
      <c r="C179" s="3" t="s">
        <v>22</v>
      </c>
      <c r="D179" s="3">
        <v>17</v>
      </c>
    </row>
    <row r="180" spans="1:4" ht="15.75" customHeight="1" x14ac:dyDescent="0.25">
      <c r="A180" s="2">
        <v>45721</v>
      </c>
      <c r="B180" s="3" t="s">
        <v>66</v>
      </c>
      <c r="C180" s="3" t="s">
        <v>52</v>
      </c>
      <c r="D180" s="3">
        <v>3</v>
      </c>
    </row>
    <row r="181" spans="1:4" ht="15.75" customHeight="1" x14ac:dyDescent="0.25">
      <c r="A181" s="2">
        <v>45675</v>
      </c>
      <c r="B181" s="3" t="s">
        <v>42</v>
      </c>
      <c r="C181" s="3" t="s">
        <v>24</v>
      </c>
      <c r="D181" s="3">
        <v>39</v>
      </c>
    </row>
    <row r="182" spans="1:4" ht="15.75" customHeight="1" x14ac:dyDescent="0.25">
      <c r="A182" s="2">
        <v>45723</v>
      </c>
      <c r="B182" s="3" t="s">
        <v>132</v>
      </c>
      <c r="C182" s="3" t="s">
        <v>26</v>
      </c>
      <c r="D182" s="3">
        <v>34</v>
      </c>
    </row>
    <row r="183" spans="1:4" ht="15.75" customHeight="1" x14ac:dyDescent="0.25">
      <c r="A183" s="2">
        <v>45685</v>
      </c>
      <c r="B183" s="3" t="s">
        <v>80</v>
      </c>
      <c r="C183" s="3" t="s">
        <v>22</v>
      </c>
      <c r="D183" s="3">
        <v>14</v>
      </c>
    </row>
    <row r="184" spans="1:4" ht="15.75" customHeight="1" x14ac:dyDescent="0.25">
      <c r="A184" s="2">
        <v>45688</v>
      </c>
      <c r="B184" s="3" t="s">
        <v>72</v>
      </c>
      <c r="C184" s="3" t="s">
        <v>13</v>
      </c>
      <c r="D184" s="3">
        <v>6</v>
      </c>
    </row>
    <row r="185" spans="1:4" ht="15.75" customHeight="1" x14ac:dyDescent="0.25">
      <c r="A185" s="2">
        <v>45683</v>
      </c>
      <c r="B185" s="3" t="s">
        <v>71</v>
      </c>
      <c r="C185" s="3" t="s">
        <v>20</v>
      </c>
      <c r="D185" s="3">
        <v>44</v>
      </c>
    </row>
    <row r="186" spans="1:4" ht="15.75" customHeight="1" x14ac:dyDescent="0.25">
      <c r="A186" s="2">
        <v>45704</v>
      </c>
      <c r="B186" s="3" t="s">
        <v>69</v>
      </c>
      <c r="C186" s="3" t="s">
        <v>24</v>
      </c>
      <c r="D186" s="3">
        <v>66</v>
      </c>
    </row>
    <row r="187" spans="1:4" ht="15.75" customHeight="1" x14ac:dyDescent="0.25">
      <c r="A187" s="2">
        <v>45679</v>
      </c>
      <c r="B187" s="3" t="s">
        <v>93</v>
      </c>
      <c r="C187" s="3" t="s">
        <v>82</v>
      </c>
      <c r="D187" s="3">
        <v>57</v>
      </c>
    </row>
    <row r="188" spans="1:4" ht="15.75" customHeight="1" x14ac:dyDescent="0.25">
      <c r="A188" s="2">
        <v>45682</v>
      </c>
      <c r="B188" s="3" t="s">
        <v>114</v>
      </c>
      <c r="C188" s="3" t="s">
        <v>75</v>
      </c>
      <c r="D188" s="3">
        <v>17</v>
      </c>
    </row>
    <row r="189" spans="1:4" ht="15.75" customHeight="1" x14ac:dyDescent="0.25">
      <c r="A189" s="2">
        <v>45732</v>
      </c>
      <c r="B189" s="3" t="s">
        <v>32</v>
      </c>
      <c r="C189" s="3" t="s">
        <v>22</v>
      </c>
      <c r="D189" s="3">
        <v>25</v>
      </c>
    </row>
    <row r="190" spans="1:4" ht="15.75" customHeight="1" x14ac:dyDescent="0.25">
      <c r="A190" s="2">
        <v>45663</v>
      </c>
      <c r="B190" s="3" t="s">
        <v>15</v>
      </c>
      <c r="C190" s="3" t="s">
        <v>16</v>
      </c>
      <c r="D190" s="3">
        <v>23</v>
      </c>
    </row>
    <row r="191" spans="1:4" ht="15.75" customHeight="1" x14ac:dyDescent="0.25">
      <c r="A191" s="2">
        <v>45684</v>
      </c>
      <c r="B191" s="3" t="s">
        <v>7</v>
      </c>
      <c r="C191" s="3" t="s">
        <v>8</v>
      </c>
      <c r="D191" s="3">
        <v>1</v>
      </c>
    </row>
    <row r="192" spans="1:4" ht="15.75" customHeight="1" x14ac:dyDescent="0.25">
      <c r="A192" s="2">
        <v>45733</v>
      </c>
      <c r="B192" s="3" t="s">
        <v>59</v>
      </c>
      <c r="C192" s="3" t="s">
        <v>16</v>
      </c>
      <c r="D192" s="3">
        <v>58</v>
      </c>
    </row>
    <row r="193" spans="1:4" ht="15.75" customHeight="1" x14ac:dyDescent="0.25">
      <c r="A193" s="2">
        <v>45731</v>
      </c>
      <c r="B193" s="3" t="s">
        <v>120</v>
      </c>
      <c r="C193" s="3" t="s">
        <v>26</v>
      </c>
      <c r="D193" s="3">
        <v>39</v>
      </c>
    </row>
    <row r="194" spans="1:4" ht="15.75" customHeight="1" x14ac:dyDescent="0.25">
      <c r="A194" s="2">
        <v>45729</v>
      </c>
      <c r="B194" s="3" t="s">
        <v>6</v>
      </c>
      <c r="C194" s="3" t="s">
        <v>5</v>
      </c>
      <c r="D194" s="3">
        <v>66</v>
      </c>
    </row>
    <row r="195" spans="1:4" ht="15.75" customHeight="1" x14ac:dyDescent="0.25">
      <c r="A195" s="2">
        <v>45736</v>
      </c>
      <c r="B195" s="3" t="s">
        <v>40</v>
      </c>
      <c r="C195" s="3" t="s">
        <v>41</v>
      </c>
      <c r="D195" s="3">
        <v>60</v>
      </c>
    </row>
    <row r="196" spans="1:4" ht="15.75" customHeight="1" x14ac:dyDescent="0.25">
      <c r="A196" s="2">
        <v>45724</v>
      </c>
      <c r="B196" s="3" t="s">
        <v>45</v>
      </c>
      <c r="C196" s="3" t="s">
        <v>24</v>
      </c>
      <c r="D196" s="3">
        <v>18</v>
      </c>
    </row>
    <row r="197" spans="1:4" ht="15.75" customHeight="1" x14ac:dyDescent="0.25">
      <c r="A197" s="2">
        <v>45701</v>
      </c>
      <c r="B197" s="3" t="s">
        <v>98</v>
      </c>
      <c r="C197" s="3" t="s">
        <v>22</v>
      </c>
      <c r="D197" s="3">
        <v>40</v>
      </c>
    </row>
    <row r="198" spans="1:4" ht="15.75" customHeight="1" x14ac:dyDescent="0.25">
      <c r="A198" s="2">
        <v>45694</v>
      </c>
      <c r="B198" s="3" t="s">
        <v>135</v>
      </c>
      <c r="C198" s="3" t="s">
        <v>62</v>
      </c>
      <c r="D198" s="3">
        <v>49</v>
      </c>
    </row>
    <row r="199" spans="1:4" ht="15.75" customHeight="1" x14ac:dyDescent="0.25">
      <c r="A199" s="2">
        <v>45734</v>
      </c>
      <c r="B199" s="3" t="s">
        <v>32</v>
      </c>
      <c r="C199" s="3" t="s">
        <v>22</v>
      </c>
      <c r="D199" s="3">
        <v>33</v>
      </c>
    </row>
    <row r="200" spans="1:4" ht="15.75" customHeight="1" x14ac:dyDescent="0.25">
      <c r="A200" s="2">
        <v>45727</v>
      </c>
      <c r="B200" s="3" t="s">
        <v>33</v>
      </c>
      <c r="C200" s="3" t="s">
        <v>28</v>
      </c>
      <c r="D200" s="3">
        <v>6</v>
      </c>
    </row>
    <row r="201" spans="1:4" ht="15.75" customHeight="1" x14ac:dyDescent="0.25">
      <c r="A201" s="2">
        <v>45667</v>
      </c>
      <c r="B201" s="3" t="s">
        <v>36</v>
      </c>
      <c r="C201" s="3" t="s">
        <v>22</v>
      </c>
      <c r="D201" s="3">
        <v>35</v>
      </c>
    </row>
    <row r="202" spans="1:4" ht="15.75" customHeight="1" x14ac:dyDescent="0.25">
      <c r="A202" s="2">
        <v>45708</v>
      </c>
      <c r="B202" s="3" t="s">
        <v>37</v>
      </c>
      <c r="C202" s="3" t="s">
        <v>8</v>
      </c>
      <c r="D202" s="3">
        <v>24</v>
      </c>
    </row>
    <row r="203" spans="1:4" ht="15.75" customHeight="1" x14ac:dyDescent="0.25">
      <c r="A203" s="2">
        <v>45744</v>
      </c>
      <c r="B203" s="3" t="s">
        <v>105</v>
      </c>
      <c r="C203" s="3" t="s">
        <v>79</v>
      </c>
      <c r="D203" s="3">
        <v>20</v>
      </c>
    </row>
    <row r="204" spans="1:4" ht="15.75" customHeight="1" x14ac:dyDescent="0.25">
      <c r="A204" s="2">
        <v>45744</v>
      </c>
      <c r="B204" s="3" t="s">
        <v>90</v>
      </c>
      <c r="C204" s="3" t="s">
        <v>39</v>
      </c>
      <c r="D204" s="3">
        <v>6</v>
      </c>
    </row>
    <row r="205" spans="1:4" ht="15.75" customHeight="1" x14ac:dyDescent="0.25">
      <c r="A205" s="2">
        <v>45699</v>
      </c>
      <c r="B205" s="3" t="s">
        <v>128</v>
      </c>
      <c r="C205" s="3" t="s">
        <v>82</v>
      </c>
      <c r="D205" s="3">
        <v>68</v>
      </c>
    </row>
    <row r="206" spans="1:4" ht="15.75" customHeight="1" x14ac:dyDescent="0.25">
      <c r="A206" s="2">
        <v>45745</v>
      </c>
      <c r="B206" s="3" t="s">
        <v>36</v>
      </c>
      <c r="C206" s="3" t="s">
        <v>22</v>
      </c>
      <c r="D206" s="3">
        <v>78</v>
      </c>
    </row>
    <row r="207" spans="1:4" ht="15.75" customHeight="1" x14ac:dyDescent="0.25">
      <c r="A207" s="2">
        <v>45733</v>
      </c>
      <c r="B207" s="3" t="s">
        <v>135</v>
      </c>
      <c r="C207" s="3" t="s">
        <v>62</v>
      </c>
      <c r="D207" s="3">
        <v>12</v>
      </c>
    </row>
    <row r="208" spans="1:4" ht="15.75" customHeight="1" x14ac:dyDescent="0.25">
      <c r="A208" s="2">
        <v>45724</v>
      </c>
      <c r="B208" s="3" t="s">
        <v>23</v>
      </c>
      <c r="C208" s="3" t="s">
        <v>24</v>
      </c>
      <c r="D208" s="3">
        <v>72</v>
      </c>
    </row>
    <row r="209" spans="1:4" ht="15.75" customHeight="1" x14ac:dyDescent="0.25">
      <c r="A209" s="2">
        <v>45663</v>
      </c>
      <c r="B209" s="3" t="s">
        <v>67</v>
      </c>
      <c r="C209" s="3" t="s">
        <v>39</v>
      </c>
      <c r="D209" s="3">
        <v>57</v>
      </c>
    </row>
    <row r="210" spans="1:4" ht="15.75" customHeight="1" x14ac:dyDescent="0.25">
      <c r="A210" s="2">
        <v>45701</v>
      </c>
      <c r="B210" s="3" t="s">
        <v>114</v>
      </c>
      <c r="C210" s="3" t="s">
        <v>75</v>
      </c>
      <c r="D210" s="3">
        <v>78</v>
      </c>
    </row>
    <row r="211" spans="1:4" ht="15.75" customHeight="1" x14ac:dyDescent="0.25">
      <c r="A211" s="2">
        <v>45736</v>
      </c>
      <c r="B211" s="3" t="s">
        <v>45</v>
      </c>
      <c r="C211" s="3" t="s">
        <v>24</v>
      </c>
      <c r="D211" s="3">
        <v>3</v>
      </c>
    </row>
    <row r="212" spans="1:4" ht="15.75" customHeight="1" x14ac:dyDescent="0.25">
      <c r="A212" s="2">
        <v>45734</v>
      </c>
      <c r="B212" s="3" t="s">
        <v>136</v>
      </c>
      <c r="C212" s="3" t="s">
        <v>79</v>
      </c>
      <c r="D212" s="3">
        <v>64</v>
      </c>
    </row>
    <row r="213" spans="1:4" ht="15.75" customHeight="1" x14ac:dyDescent="0.25">
      <c r="A213" s="2">
        <v>45697</v>
      </c>
      <c r="B213" s="3" t="s">
        <v>140</v>
      </c>
      <c r="C213" s="3" t="s">
        <v>85</v>
      </c>
      <c r="D213" s="3">
        <v>52</v>
      </c>
    </row>
    <row r="214" spans="1:4" ht="15.75" customHeight="1" x14ac:dyDescent="0.25">
      <c r="A214" s="2">
        <v>45695</v>
      </c>
      <c r="B214" s="3" t="s">
        <v>138</v>
      </c>
      <c r="C214" s="3" t="s">
        <v>85</v>
      </c>
      <c r="D214" s="3">
        <v>46</v>
      </c>
    </row>
    <row r="215" spans="1:4" ht="15.75" customHeight="1" x14ac:dyDescent="0.25">
      <c r="A215" s="2">
        <v>45728</v>
      </c>
      <c r="B215" s="3" t="s">
        <v>15</v>
      </c>
      <c r="C215" s="3" t="s">
        <v>16</v>
      </c>
      <c r="D215" s="3">
        <v>20</v>
      </c>
    </row>
    <row r="216" spans="1:4" ht="15.75" customHeight="1" x14ac:dyDescent="0.25">
      <c r="A216" s="2">
        <v>45673</v>
      </c>
      <c r="B216" s="3" t="s">
        <v>117</v>
      </c>
      <c r="C216" s="3" t="s">
        <v>28</v>
      </c>
      <c r="D216" s="3">
        <v>56</v>
      </c>
    </row>
    <row r="217" spans="1:4" ht="15.75" customHeight="1" x14ac:dyDescent="0.25">
      <c r="A217" s="2">
        <v>45705</v>
      </c>
      <c r="B217" s="3" t="s">
        <v>113</v>
      </c>
      <c r="C217" s="3" t="s">
        <v>85</v>
      </c>
      <c r="D217" s="3">
        <v>40</v>
      </c>
    </row>
    <row r="218" spans="1:4" ht="15.75" customHeight="1" x14ac:dyDescent="0.25">
      <c r="A218" s="2">
        <v>45664</v>
      </c>
      <c r="B218" s="3" t="s">
        <v>34</v>
      </c>
      <c r="C218" s="3" t="s">
        <v>28</v>
      </c>
      <c r="D218" s="3">
        <v>47</v>
      </c>
    </row>
    <row r="219" spans="1:4" ht="15.75" customHeight="1" x14ac:dyDescent="0.25">
      <c r="A219" s="2">
        <v>45727</v>
      </c>
      <c r="B219" s="3" t="s">
        <v>117</v>
      </c>
      <c r="C219" s="3" t="s">
        <v>28</v>
      </c>
      <c r="D219" s="3">
        <v>74</v>
      </c>
    </row>
    <row r="220" spans="1:4" ht="15.75" customHeight="1" x14ac:dyDescent="0.25">
      <c r="A220" s="2">
        <v>45726</v>
      </c>
      <c r="B220" s="3" t="s">
        <v>30</v>
      </c>
      <c r="C220" s="3" t="s">
        <v>31</v>
      </c>
      <c r="D220" s="3">
        <v>36</v>
      </c>
    </row>
    <row r="221" spans="1:4" ht="15.75" customHeight="1" x14ac:dyDescent="0.25">
      <c r="A221" s="2">
        <v>45711</v>
      </c>
      <c r="B221" s="3" t="s">
        <v>97</v>
      </c>
      <c r="C221" s="3" t="s">
        <v>52</v>
      </c>
      <c r="D221" s="3">
        <v>40</v>
      </c>
    </row>
    <row r="222" spans="1:4" ht="15.75" customHeight="1" x14ac:dyDescent="0.25">
      <c r="A222" s="2">
        <v>45701</v>
      </c>
      <c r="B222" s="3" t="s">
        <v>44</v>
      </c>
      <c r="C222" s="3" t="s">
        <v>20</v>
      </c>
      <c r="D222" s="3">
        <v>10</v>
      </c>
    </row>
    <row r="223" spans="1:4" ht="15.75" customHeight="1" x14ac:dyDescent="0.25">
      <c r="A223" s="2">
        <v>45723</v>
      </c>
      <c r="B223" s="3" t="s">
        <v>9</v>
      </c>
      <c r="C223" s="3" t="s">
        <v>8</v>
      </c>
      <c r="D223" s="3">
        <v>53</v>
      </c>
    </row>
    <row r="224" spans="1:4" ht="15.75" customHeight="1" x14ac:dyDescent="0.25">
      <c r="A224" s="2">
        <v>45735</v>
      </c>
      <c r="B224" s="3" t="s">
        <v>73</v>
      </c>
      <c r="C224" s="3" t="s">
        <v>13</v>
      </c>
      <c r="D224" s="3">
        <v>8</v>
      </c>
    </row>
    <row r="225" spans="1:4" ht="15.75" customHeight="1" x14ac:dyDescent="0.25">
      <c r="A225" s="2">
        <v>45732</v>
      </c>
      <c r="B225" s="3" t="s">
        <v>138</v>
      </c>
      <c r="C225" s="3" t="s">
        <v>85</v>
      </c>
      <c r="D225" s="3">
        <v>59</v>
      </c>
    </row>
    <row r="226" spans="1:4" ht="15.75" customHeight="1" x14ac:dyDescent="0.25">
      <c r="A226" s="2">
        <v>45695</v>
      </c>
      <c r="B226" s="3" t="s">
        <v>25</v>
      </c>
      <c r="C226" s="3" t="s">
        <v>26</v>
      </c>
      <c r="D226" s="3">
        <v>3</v>
      </c>
    </row>
    <row r="227" spans="1:4" ht="15.75" customHeight="1" x14ac:dyDescent="0.25">
      <c r="A227" s="2">
        <v>45672</v>
      </c>
      <c r="B227" s="3" t="s">
        <v>64</v>
      </c>
      <c r="C227" s="3" t="s">
        <v>41</v>
      </c>
      <c r="D227" s="3">
        <v>65</v>
      </c>
    </row>
    <row r="228" spans="1:4" ht="15.75" customHeight="1" x14ac:dyDescent="0.25">
      <c r="A228" s="2">
        <v>45677</v>
      </c>
      <c r="B228" s="3" t="s">
        <v>127</v>
      </c>
      <c r="C228" s="3" t="s">
        <v>22</v>
      </c>
      <c r="D228" s="3">
        <v>74</v>
      </c>
    </row>
    <row r="229" spans="1:4" ht="15.75" customHeight="1" x14ac:dyDescent="0.25">
      <c r="A229" s="2">
        <v>45707</v>
      </c>
      <c r="B229" s="3" t="s">
        <v>92</v>
      </c>
      <c r="C229" s="3" t="s">
        <v>82</v>
      </c>
      <c r="D229" s="3">
        <v>3</v>
      </c>
    </row>
    <row r="230" spans="1:4" ht="15.75" customHeight="1" x14ac:dyDescent="0.25">
      <c r="A230" s="2">
        <v>45676</v>
      </c>
      <c r="B230" s="3" t="s">
        <v>71</v>
      </c>
      <c r="C230" s="3" t="s">
        <v>20</v>
      </c>
      <c r="D230" s="3">
        <v>72</v>
      </c>
    </row>
    <row r="231" spans="1:4" ht="15.75" customHeight="1" x14ac:dyDescent="0.25">
      <c r="A231" s="2">
        <v>45693</v>
      </c>
      <c r="B231" s="3" t="s">
        <v>90</v>
      </c>
      <c r="C231" s="3" t="s">
        <v>39</v>
      </c>
      <c r="D231" s="3">
        <v>58</v>
      </c>
    </row>
    <row r="232" spans="1:4" ht="15.75" customHeight="1" x14ac:dyDescent="0.25">
      <c r="A232" s="2">
        <v>45687</v>
      </c>
      <c r="B232" s="3" t="s">
        <v>58</v>
      </c>
      <c r="C232" s="3" t="s">
        <v>24</v>
      </c>
      <c r="D232" s="3">
        <v>17</v>
      </c>
    </row>
    <row r="233" spans="1:4" ht="15.75" customHeight="1" x14ac:dyDescent="0.25">
      <c r="A233" s="2">
        <v>45735</v>
      </c>
      <c r="B233" s="3" t="s">
        <v>142</v>
      </c>
      <c r="C233" s="3" t="s">
        <v>5</v>
      </c>
      <c r="D233" s="3">
        <v>9</v>
      </c>
    </row>
    <row r="234" spans="1:4" ht="15.75" customHeight="1" x14ac:dyDescent="0.25">
      <c r="A234" s="2">
        <v>45691</v>
      </c>
      <c r="B234" s="3" t="s">
        <v>142</v>
      </c>
      <c r="C234" s="3" t="s">
        <v>5</v>
      </c>
      <c r="D234" s="3">
        <v>67</v>
      </c>
    </row>
    <row r="235" spans="1:4" ht="15.75" customHeight="1" x14ac:dyDescent="0.25">
      <c r="A235" s="2">
        <v>45677</v>
      </c>
      <c r="B235" s="3" t="s">
        <v>115</v>
      </c>
      <c r="C235" s="3" t="s">
        <v>50</v>
      </c>
      <c r="D235" s="3">
        <v>10</v>
      </c>
    </row>
    <row r="236" spans="1:4" ht="15.75" customHeight="1" x14ac:dyDescent="0.25">
      <c r="A236" s="2">
        <v>45673</v>
      </c>
      <c r="B236" s="3" t="s">
        <v>66</v>
      </c>
      <c r="C236" s="3" t="s">
        <v>52</v>
      </c>
      <c r="D236" s="3">
        <v>39</v>
      </c>
    </row>
    <row r="237" spans="1:4" ht="15.75" customHeight="1" x14ac:dyDescent="0.25">
      <c r="A237" s="2">
        <v>45732</v>
      </c>
      <c r="B237" s="3" t="s">
        <v>59</v>
      </c>
      <c r="C237" s="3" t="s">
        <v>16</v>
      </c>
      <c r="D237" s="3">
        <v>79</v>
      </c>
    </row>
    <row r="238" spans="1:4" ht="15.75" customHeight="1" x14ac:dyDescent="0.25">
      <c r="A238" s="2">
        <v>45663</v>
      </c>
      <c r="B238" s="3" t="s">
        <v>138</v>
      </c>
      <c r="C238" s="3" t="s">
        <v>85</v>
      </c>
      <c r="D238" s="3">
        <v>19</v>
      </c>
    </row>
    <row r="239" spans="1:4" ht="15.75" customHeight="1" x14ac:dyDescent="0.25">
      <c r="A239" s="2">
        <v>45664</v>
      </c>
      <c r="B239" s="3" t="s">
        <v>48</v>
      </c>
      <c r="C239" s="3" t="s">
        <v>22</v>
      </c>
      <c r="D239" s="3">
        <v>7</v>
      </c>
    </row>
    <row r="240" spans="1:4" ht="15.75" customHeight="1" x14ac:dyDescent="0.25">
      <c r="A240" s="2">
        <v>45705</v>
      </c>
      <c r="B240" s="3" t="s">
        <v>108</v>
      </c>
      <c r="C240" s="3" t="s">
        <v>109</v>
      </c>
      <c r="D240" s="3">
        <v>52</v>
      </c>
    </row>
    <row r="241" spans="1:4" ht="15.75" customHeight="1" x14ac:dyDescent="0.25">
      <c r="A241" s="2">
        <v>45692</v>
      </c>
      <c r="B241" s="3" t="s">
        <v>17</v>
      </c>
      <c r="C241" s="3" t="s">
        <v>16</v>
      </c>
      <c r="D241" s="3">
        <v>26</v>
      </c>
    </row>
    <row r="242" spans="1:4" ht="15.75" customHeight="1" x14ac:dyDescent="0.25">
      <c r="A242" s="2">
        <v>45701</v>
      </c>
      <c r="B242" s="3" t="s">
        <v>91</v>
      </c>
      <c r="C242" s="3" t="s">
        <v>26</v>
      </c>
      <c r="D242" s="3">
        <v>5</v>
      </c>
    </row>
    <row r="243" spans="1:4" ht="15.75" customHeight="1" x14ac:dyDescent="0.25">
      <c r="A243" s="2">
        <v>45673</v>
      </c>
      <c r="B243" s="3" t="s">
        <v>138</v>
      </c>
      <c r="C243" s="3" t="s">
        <v>85</v>
      </c>
      <c r="D243" s="3">
        <v>40</v>
      </c>
    </row>
    <row r="244" spans="1:4" ht="15.75" customHeight="1" x14ac:dyDescent="0.25">
      <c r="A244" s="2">
        <v>45728</v>
      </c>
      <c r="B244" s="3" t="s">
        <v>9</v>
      </c>
      <c r="C244" s="3" t="s">
        <v>8</v>
      </c>
      <c r="D244" s="3">
        <v>59</v>
      </c>
    </row>
    <row r="245" spans="1:4" ht="15.75" customHeight="1" x14ac:dyDescent="0.25">
      <c r="A245" s="2">
        <v>45708</v>
      </c>
      <c r="B245" s="3" t="s">
        <v>67</v>
      </c>
      <c r="C245" s="3" t="s">
        <v>39</v>
      </c>
      <c r="D245" s="3">
        <v>63</v>
      </c>
    </row>
    <row r="246" spans="1:4" ht="15.75" customHeight="1" x14ac:dyDescent="0.25">
      <c r="A246" s="2">
        <v>45698</v>
      </c>
      <c r="B246" s="3" t="s">
        <v>120</v>
      </c>
      <c r="C246" s="3" t="s">
        <v>26</v>
      </c>
      <c r="D246" s="3">
        <v>7</v>
      </c>
    </row>
    <row r="247" spans="1:4" ht="15.75" customHeight="1" x14ac:dyDescent="0.25">
      <c r="A247" s="2">
        <v>45716</v>
      </c>
      <c r="B247" s="3" t="s">
        <v>93</v>
      </c>
      <c r="C247" s="3" t="s">
        <v>82</v>
      </c>
      <c r="D247" s="3">
        <v>16</v>
      </c>
    </row>
    <row r="248" spans="1:4" ht="15.75" customHeight="1" x14ac:dyDescent="0.25">
      <c r="A248" s="2">
        <v>45713</v>
      </c>
      <c r="B248" s="3" t="s">
        <v>137</v>
      </c>
      <c r="C248" s="3" t="s">
        <v>20</v>
      </c>
      <c r="D248" s="3">
        <v>20</v>
      </c>
    </row>
    <row r="249" spans="1:4" ht="15.75" customHeight="1" x14ac:dyDescent="0.25">
      <c r="A249" s="2">
        <v>45737</v>
      </c>
      <c r="B249" s="3" t="s">
        <v>14</v>
      </c>
      <c r="C249" s="3" t="s">
        <v>8</v>
      </c>
      <c r="D249" s="3">
        <v>28</v>
      </c>
    </row>
    <row r="250" spans="1:4" ht="15.75" customHeight="1" x14ac:dyDescent="0.25">
      <c r="A250" s="2">
        <v>45725</v>
      </c>
      <c r="B250" s="3" t="s">
        <v>40</v>
      </c>
      <c r="C250" s="3" t="s">
        <v>41</v>
      </c>
      <c r="D250" s="3">
        <v>52</v>
      </c>
    </row>
    <row r="251" spans="1:4" ht="15.75" customHeight="1" x14ac:dyDescent="0.25">
      <c r="A251" s="2">
        <v>45703</v>
      </c>
      <c r="B251" s="3" t="s">
        <v>116</v>
      </c>
      <c r="C251" s="3" t="s">
        <v>82</v>
      </c>
      <c r="D251" s="3">
        <v>78</v>
      </c>
    </row>
    <row r="252" spans="1:4" ht="15.75" customHeight="1" x14ac:dyDescent="0.25">
      <c r="A252" s="2">
        <v>45726</v>
      </c>
      <c r="B252" s="3" t="s">
        <v>60</v>
      </c>
      <c r="C252" s="3" t="s">
        <v>24</v>
      </c>
      <c r="D252" s="3">
        <v>6</v>
      </c>
    </row>
    <row r="253" spans="1:4" ht="15.75" customHeight="1" x14ac:dyDescent="0.25">
      <c r="A253" s="2">
        <v>45726</v>
      </c>
      <c r="B253" s="3" t="s">
        <v>126</v>
      </c>
      <c r="C253" s="3" t="s">
        <v>26</v>
      </c>
      <c r="D253" s="3">
        <v>53</v>
      </c>
    </row>
    <row r="254" spans="1:4" ht="15.75" customHeight="1" x14ac:dyDescent="0.25">
      <c r="A254" s="2">
        <v>45667</v>
      </c>
      <c r="B254" s="3" t="s">
        <v>73</v>
      </c>
      <c r="C254" s="3" t="s">
        <v>13</v>
      </c>
      <c r="D254" s="3">
        <v>32</v>
      </c>
    </row>
    <row r="255" spans="1:4" ht="15.75" customHeight="1" x14ac:dyDescent="0.25">
      <c r="A255" s="2">
        <v>45695</v>
      </c>
      <c r="B255" s="3" t="s">
        <v>14</v>
      </c>
      <c r="C255" s="3" t="s">
        <v>8</v>
      </c>
      <c r="D255" s="3">
        <v>62</v>
      </c>
    </row>
    <row r="256" spans="1:4" ht="15.75" customHeight="1" x14ac:dyDescent="0.25">
      <c r="A256" s="2">
        <v>45730</v>
      </c>
      <c r="B256" s="3" t="s">
        <v>110</v>
      </c>
      <c r="C256" s="3" t="s">
        <v>8</v>
      </c>
      <c r="D256" s="3">
        <v>53</v>
      </c>
    </row>
    <row r="257" spans="1:4" ht="15.75" customHeight="1" x14ac:dyDescent="0.25">
      <c r="A257" s="2">
        <v>45741</v>
      </c>
      <c r="B257" s="3" t="s">
        <v>136</v>
      </c>
      <c r="C257" s="3" t="s">
        <v>79</v>
      </c>
      <c r="D257" s="3">
        <v>51</v>
      </c>
    </row>
    <row r="258" spans="1:4" ht="15.75" customHeight="1" x14ac:dyDescent="0.25">
      <c r="A258" s="2">
        <v>45682</v>
      </c>
      <c r="B258" s="3" t="s">
        <v>115</v>
      </c>
      <c r="C258" s="3" t="s">
        <v>50</v>
      </c>
      <c r="D258" s="3">
        <v>50</v>
      </c>
    </row>
    <row r="259" spans="1:4" ht="15.75" customHeight="1" x14ac:dyDescent="0.25">
      <c r="A259" s="2">
        <v>45670</v>
      </c>
      <c r="B259" s="3" t="s">
        <v>124</v>
      </c>
      <c r="C259" s="3" t="s">
        <v>26</v>
      </c>
      <c r="D259" s="3">
        <v>64</v>
      </c>
    </row>
    <row r="260" spans="1:4" ht="15.75" customHeight="1" x14ac:dyDescent="0.25">
      <c r="A260" s="2">
        <v>45686</v>
      </c>
      <c r="B260" s="3" t="s">
        <v>57</v>
      </c>
      <c r="C260" s="3" t="s">
        <v>8</v>
      </c>
      <c r="D260" s="3">
        <v>60</v>
      </c>
    </row>
    <row r="261" spans="1:4" ht="15.75" customHeight="1" x14ac:dyDescent="0.25">
      <c r="A261" s="2">
        <v>45720</v>
      </c>
      <c r="B261" s="3" t="s">
        <v>141</v>
      </c>
      <c r="C261" s="3" t="s">
        <v>24</v>
      </c>
      <c r="D261" s="3">
        <v>7</v>
      </c>
    </row>
    <row r="262" spans="1:4" ht="15.75" customHeight="1" x14ac:dyDescent="0.25">
      <c r="A262" s="2">
        <v>45692</v>
      </c>
      <c r="B262" s="3" t="s">
        <v>35</v>
      </c>
      <c r="C262" s="3" t="s">
        <v>8</v>
      </c>
      <c r="D262" s="3">
        <v>51</v>
      </c>
    </row>
    <row r="263" spans="1:4" ht="15.75" customHeight="1" x14ac:dyDescent="0.25">
      <c r="A263" s="2">
        <v>45718</v>
      </c>
      <c r="B263" s="3" t="s">
        <v>86</v>
      </c>
      <c r="C263" s="3" t="s">
        <v>26</v>
      </c>
      <c r="D263" s="3">
        <v>6</v>
      </c>
    </row>
    <row r="264" spans="1:4" ht="15.75" customHeight="1" x14ac:dyDescent="0.25">
      <c r="A264" s="2">
        <v>45743</v>
      </c>
      <c r="B264" s="3" t="s">
        <v>14</v>
      </c>
      <c r="C264" s="3" t="s">
        <v>8</v>
      </c>
      <c r="D264" s="3">
        <v>24</v>
      </c>
    </row>
    <row r="265" spans="1:4" ht="15.75" customHeight="1" x14ac:dyDescent="0.25">
      <c r="A265" s="2">
        <v>45686</v>
      </c>
      <c r="B265" s="3" t="s">
        <v>90</v>
      </c>
      <c r="C265" s="3" t="s">
        <v>39</v>
      </c>
      <c r="D265" s="3">
        <v>73</v>
      </c>
    </row>
    <row r="266" spans="1:4" ht="15.75" customHeight="1" x14ac:dyDescent="0.25">
      <c r="A266" s="2">
        <v>45701</v>
      </c>
      <c r="B266" s="3" t="s">
        <v>78</v>
      </c>
      <c r="C266" s="3" t="s">
        <v>79</v>
      </c>
      <c r="D266" s="3">
        <v>74</v>
      </c>
    </row>
    <row r="267" spans="1:4" ht="15.75" customHeight="1" x14ac:dyDescent="0.25">
      <c r="A267" s="2">
        <v>45668</v>
      </c>
      <c r="B267" s="3" t="s">
        <v>77</v>
      </c>
      <c r="C267" s="3" t="s">
        <v>50</v>
      </c>
      <c r="D267" s="3">
        <v>22</v>
      </c>
    </row>
    <row r="268" spans="1:4" ht="15.75" customHeight="1" x14ac:dyDescent="0.25">
      <c r="A268" s="2">
        <v>45739</v>
      </c>
      <c r="B268" s="3" t="s">
        <v>128</v>
      </c>
      <c r="C268" s="3" t="s">
        <v>82</v>
      </c>
      <c r="D268" s="3">
        <v>69</v>
      </c>
    </row>
    <row r="269" spans="1:4" ht="15.75" customHeight="1" x14ac:dyDescent="0.25">
      <c r="A269" s="2">
        <v>45670</v>
      </c>
      <c r="B269" s="3" t="s">
        <v>80</v>
      </c>
      <c r="C269" s="3" t="s">
        <v>22</v>
      </c>
      <c r="D269" s="3">
        <v>33</v>
      </c>
    </row>
    <row r="270" spans="1:4" ht="15.75" customHeight="1" x14ac:dyDescent="0.25">
      <c r="A270" s="2">
        <v>45689</v>
      </c>
      <c r="B270" s="3" t="s">
        <v>121</v>
      </c>
      <c r="C270" s="3" t="s">
        <v>50</v>
      </c>
      <c r="D270" s="3">
        <v>52</v>
      </c>
    </row>
    <row r="271" spans="1:4" ht="15.75" customHeight="1" x14ac:dyDescent="0.25">
      <c r="A271" s="2">
        <v>45734</v>
      </c>
      <c r="B271" s="3" t="s">
        <v>136</v>
      </c>
      <c r="C271" s="3" t="s">
        <v>79</v>
      </c>
      <c r="D271" s="3">
        <v>79</v>
      </c>
    </row>
    <row r="272" spans="1:4" ht="15.75" customHeight="1" x14ac:dyDescent="0.25">
      <c r="A272" s="2">
        <v>45657</v>
      </c>
      <c r="B272" s="3" t="s">
        <v>99</v>
      </c>
      <c r="C272" s="3" t="s">
        <v>16</v>
      </c>
      <c r="D272" s="3">
        <v>43</v>
      </c>
    </row>
    <row r="273" spans="1:4" ht="15.75" customHeight="1" x14ac:dyDescent="0.25">
      <c r="A273" s="2">
        <v>45735</v>
      </c>
      <c r="B273" s="3" t="s">
        <v>56</v>
      </c>
      <c r="C273" s="3" t="s">
        <v>5</v>
      </c>
      <c r="D273" s="3">
        <v>40</v>
      </c>
    </row>
    <row r="274" spans="1:4" ht="15.75" customHeight="1" x14ac:dyDescent="0.25">
      <c r="A274" s="2">
        <v>45717</v>
      </c>
      <c r="B274" s="3" t="s">
        <v>126</v>
      </c>
      <c r="C274" s="3" t="s">
        <v>26</v>
      </c>
      <c r="D274" s="3">
        <v>29</v>
      </c>
    </row>
    <row r="275" spans="1:4" ht="15.75" customHeight="1" x14ac:dyDescent="0.25">
      <c r="A275" s="2">
        <v>45669</v>
      </c>
      <c r="B275" s="3" t="s">
        <v>81</v>
      </c>
      <c r="C275" s="3" t="s">
        <v>82</v>
      </c>
      <c r="D275" s="3">
        <v>23</v>
      </c>
    </row>
    <row r="276" spans="1:4" ht="15.75" customHeight="1" x14ac:dyDescent="0.25">
      <c r="A276" s="2">
        <v>45658</v>
      </c>
      <c r="B276" s="3" t="s">
        <v>105</v>
      </c>
      <c r="C276" s="3" t="s">
        <v>79</v>
      </c>
      <c r="D276" s="3">
        <v>62</v>
      </c>
    </row>
    <row r="277" spans="1:4" ht="15.75" customHeight="1" x14ac:dyDescent="0.25">
      <c r="A277" s="2">
        <v>45691</v>
      </c>
      <c r="B277" s="3" t="s">
        <v>17</v>
      </c>
      <c r="C277" s="3" t="s">
        <v>16</v>
      </c>
      <c r="D277" s="3">
        <v>33</v>
      </c>
    </row>
    <row r="278" spans="1:4" ht="15.75" customHeight="1" x14ac:dyDescent="0.25">
      <c r="A278" s="2">
        <v>45727</v>
      </c>
      <c r="B278" s="3" t="s">
        <v>71</v>
      </c>
      <c r="C278" s="3" t="s">
        <v>20</v>
      </c>
      <c r="D278" s="3">
        <v>75</v>
      </c>
    </row>
    <row r="279" spans="1:4" ht="15.75" customHeight="1" x14ac:dyDescent="0.25">
      <c r="A279" s="2">
        <v>45708</v>
      </c>
      <c r="B279" s="3" t="s">
        <v>14</v>
      </c>
      <c r="C279" s="3" t="s">
        <v>8</v>
      </c>
      <c r="D279" s="3">
        <v>70</v>
      </c>
    </row>
    <row r="280" spans="1:4" ht="15.75" customHeight="1" x14ac:dyDescent="0.25">
      <c r="A280" s="2">
        <v>45687</v>
      </c>
      <c r="B280" s="3" t="s">
        <v>53</v>
      </c>
      <c r="C280" s="3" t="s">
        <v>50</v>
      </c>
      <c r="D280" s="3">
        <v>73</v>
      </c>
    </row>
    <row r="281" spans="1:4" ht="15.75" customHeight="1" x14ac:dyDescent="0.25">
      <c r="A281" s="2">
        <v>45677</v>
      </c>
      <c r="B281" s="3" t="s">
        <v>55</v>
      </c>
      <c r="C281" s="3" t="s">
        <v>24</v>
      </c>
      <c r="D281" s="3">
        <v>13</v>
      </c>
    </row>
    <row r="282" spans="1:4" ht="15.75" customHeight="1" x14ac:dyDescent="0.25">
      <c r="A282" s="2">
        <v>45681</v>
      </c>
      <c r="B282" s="3" t="s">
        <v>73</v>
      </c>
      <c r="C282" s="3" t="s">
        <v>13</v>
      </c>
      <c r="D282" s="3">
        <v>57</v>
      </c>
    </row>
    <row r="283" spans="1:4" ht="15.75" customHeight="1" x14ac:dyDescent="0.25">
      <c r="A283" s="2">
        <v>45659</v>
      </c>
      <c r="B283" s="3" t="s">
        <v>21</v>
      </c>
      <c r="C283" s="3" t="s">
        <v>22</v>
      </c>
      <c r="D283" s="3">
        <v>53</v>
      </c>
    </row>
    <row r="284" spans="1:4" ht="15.75" customHeight="1" x14ac:dyDescent="0.25">
      <c r="A284" s="2">
        <v>45712</v>
      </c>
      <c r="B284" s="3" t="s">
        <v>141</v>
      </c>
      <c r="C284" s="3" t="s">
        <v>24</v>
      </c>
      <c r="D284" s="3">
        <v>76</v>
      </c>
    </row>
    <row r="285" spans="1:4" ht="15.75" customHeight="1" x14ac:dyDescent="0.25">
      <c r="A285" s="2">
        <v>45665</v>
      </c>
      <c r="B285" s="3" t="s">
        <v>70</v>
      </c>
      <c r="C285" s="3" t="s">
        <v>52</v>
      </c>
      <c r="D285" s="3">
        <v>13</v>
      </c>
    </row>
    <row r="286" spans="1:4" ht="15.75" customHeight="1" x14ac:dyDescent="0.25">
      <c r="A286" s="2">
        <v>45698</v>
      </c>
      <c r="B286" s="3" t="s">
        <v>44</v>
      </c>
      <c r="C286" s="3" t="s">
        <v>20</v>
      </c>
      <c r="D286" s="3">
        <v>44</v>
      </c>
    </row>
    <row r="287" spans="1:4" ht="15.75" customHeight="1" x14ac:dyDescent="0.25">
      <c r="A287" s="2">
        <v>45713</v>
      </c>
      <c r="B287" s="3" t="s">
        <v>40</v>
      </c>
      <c r="C287" s="3" t="s">
        <v>41</v>
      </c>
      <c r="D287" s="3">
        <v>13</v>
      </c>
    </row>
    <row r="288" spans="1:4" ht="15.75" customHeight="1" x14ac:dyDescent="0.25">
      <c r="A288" s="2">
        <v>45741</v>
      </c>
      <c r="B288" s="3" t="s">
        <v>66</v>
      </c>
      <c r="C288" s="3" t="s">
        <v>52</v>
      </c>
      <c r="D288" s="3">
        <v>40</v>
      </c>
    </row>
    <row r="289" spans="1:4" ht="15.75" customHeight="1" x14ac:dyDescent="0.25">
      <c r="A289" s="2">
        <v>45693</v>
      </c>
      <c r="B289" s="3" t="s">
        <v>65</v>
      </c>
      <c r="C289" s="3" t="s">
        <v>5</v>
      </c>
      <c r="D289" s="3">
        <v>68</v>
      </c>
    </row>
    <row r="290" spans="1:4" ht="15.75" customHeight="1" x14ac:dyDescent="0.25">
      <c r="A290" s="2">
        <v>45718</v>
      </c>
      <c r="B290" s="3" t="s">
        <v>111</v>
      </c>
      <c r="C290" s="3" t="s">
        <v>109</v>
      </c>
      <c r="D290" s="3">
        <v>18</v>
      </c>
    </row>
    <row r="291" spans="1:4" ht="15.75" customHeight="1" x14ac:dyDescent="0.25">
      <c r="A291" s="2">
        <v>45733</v>
      </c>
      <c r="B291" s="3" t="s">
        <v>99</v>
      </c>
      <c r="C291" s="3" t="s">
        <v>16</v>
      </c>
      <c r="D291" s="3">
        <v>64</v>
      </c>
    </row>
    <row r="292" spans="1:4" ht="15.75" customHeight="1" x14ac:dyDescent="0.25">
      <c r="A292" s="2">
        <v>45681</v>
      </c>
      <c r="B292" s="3" t="s">
        <v>119</v>
      </c>
      <c r="C292" s="3" t="s">
        <v>16</v>
      </c>
      <c r="D292" s="3">
        <v>34</v>
      </c>
    </row>
    <row r="293" spans="1:4" ht="15.75" customHeight="1" x14ac:dyDescent="0.25">
      <c r="A293" s="2">
        <v>45738</v>
      </c>
      <c r="B293" s="3" t="s">
        <v>10</v>
      </c>
      <c r="C293" s="3" t="s">
        <v>8</v>
      </c>
      <c r="D293" s="3">
        <v>62</v>
      </c>
    </row>
    <row r="294" spans="1:4" ht="15.75" customHeight="1" x14ac:dyDescent="0.25">
      <c r="A294" s="2">
        <v>45745</v>
      </c>
      <c r="B294" s="3" t="s">
        <v>138</v>
      </c>
      <c r="C294" s="3" t="s">
        <v>85</v>
      </c>
      <c r="D294" s="3">
        <v>6</v>
      </c>
    </row>
    <row r="295" spans="1:4" ht="15.75" customHeight="1" x14ac:dyDescent="0.25">
      <c r="A295" s="2">
        <v>45697</v>
      </c>
      <c r="B295" s="3" t="s">
        <v>71</v>
      </c>
      <c r="C295" s="3" t="s">
        <v>20</v>
      </c>
      <c r="D295" s="3">
        <v>8</v>
      </c>
    </row>
    <row r="296" spans="1:4" ht="15.75" customHeight="1" x14ac:dyDescent="0.25">
      <c r="A296" s="2">
        <v>45673</v>
      </c>
      <c r="B296" s="3" t="s">
        <v>30</v>
      </c>
      <c r="C296" s="3" t="s">
        <v>31</v>
      </c>
      <c r="D296" s="3">
        <v>19</v>
      </c>
    </row>
    <row r="297" spans="1:4" ht="15.75" customHeight="1" x14ac:dyDescent="0.25">
      <c r="A297" s="2">
        <v>45744</v>
      </c>
      <c r="B297" s="3" t="s">
        <v>132</v>
      </c>
      <c r="C297" s="3" t="s">
        <v>26</v>
      </c>
      <c r="D297" s="3">
        <v>24</v>
      </c>
    </row>
    <row r="298" spans="1:4" ht="15.75" customHeight="1" x14ac:dyDescent="0.25">
      <c r="A298" s="2">
        <v>45715</v>
      </c>
      <c r="B298" s="3" t="s">
        <v>87</v>
      </c>
      <c r="C298" s="3" t="s">
        <v>39</v>
      </c>
      <c r="D298" s="3">
        <v>66</v>
      </c>
    </row>
    <row r="299" spans="1:4" ht="15.75" customHeight="1" x14ac:dyDescent="0.25">
      <c r="A299" s="2">
        <v>45735</v>
      </c>
      <c r="B299" s="3" t="s">
        <v>45</v>
      </c>
      <c r="C299" s="3" t="s">
        <v>24</v>
      </c>
      <c r="D299" s="3">
        <v>37</v>
      </c>
    </row>
    <row r="300" spans="1:4" ht="15.75" customHeight="1" x14ac:dyDescent="0.25">
      <c r="A300" s="2">
        <v>45721</v>
      </c>
      <c r="B300" s="3" t="s">
        <v>84</v>
      </c>
      <c r="C300" s="3" t="s">
        <v>85</v>
      </c>
      <c r="D300" s="3">
        <v>3</v>
      </c>
    </row>
    <row r="301" spans="1:4" ht="15.75" customHeight="1" x14ac:dyDescent="0.25">
      <c r="A301" s="2">
        <v>45712</v>
      </c>
      <c r="B301" s="3" t="s">
        <v>70</v>
      </c>
      <c r="C301" s="3" t="s">
        <v>52</v>
      </c>
      <c r="D301" s="3">
        <v>55</v>
      </c>
    </row>
    <row r="302" spans="1:4" ht="15.75" customHeight="1" x14ac:dyDescent="0.25">
      <c r="A302" s="2">
        <v>45732</v>
      </c>
      <c r="B302" s="3" t="s">
        <v>139</v>
      </c>
      <c r="C302" s="3" t="s">
        <v>109</v>
      </c>
      <c r="D302" s="3">
        <v>66</v>
      </c>
    </row>
    <row r="303" spans="1:4" ht="15.75" customHeight="1" x14ac:dyDescent="0.25">
      <c r="A303" s="2">
        <v>45710</v>
      </c>
      <c r="B303" s="3" t="s">
        <v>137</v>
      </c>
      <c r="C303" s="3" t="s">
        <v>20</v>
      </c>
      <c r="D303" s="3">
        <v>31</v>
      </c>
    </row>
    <row r="304" spans="1:4" ht="15.75" customHeight="1" x14ac:dyDescent="0.25">
      <c r="A304" s="2">
        <v>45658</v>
      </c>
      <c r="B304" s="3" t="s">
        <v>37</v>
      </c>
      <c r="C304" s="3" t="s">
        <v>8</v>
      </c>
      <c r="D304" s="3">
        <v>44</v>
      </c>
    </row>
    <row r="305" spans="1:4" ht="15.75" customHeight="1" x14ac:dyDescent="0.25">
      <c r="A305" s="2">
        <v>45703</v>
      </c>
      <c r="B305" s="3" t="s">
        <v>124</v>
      </c>
      <c r="C305" s="3" t="s">
        <v>26</v>
      </c>
      <c r="D305" s="3">
        <v>20</v>
      </c>
    </row>
    <row r="306" spans="1:4" ht="15.75" customHeight="1" x14ac:dyDescent="0.25">
      <c r="A306" s="2">
        <v>45679</v>
      </c>
      <c r="B306" s="3" t="s">
        <v>74</v>
      </c>
      <c r="C306" s="3" t="s">
        <v>75</v>
      </c>
      <c r="D306" s="3">
        <v>2</v>
      </c>
    </row>
    <row r="307" spans="1:4" ht="15.75" customHeight="1" x14ac:dyDescent="0.25">
      <c r="A307" s="2">
        <v>45708</v>
      </c>
      <c r="B307" s="3" t="s">
        <v>141</v>
      </c>
      <c r="C307" s="3" t="s">
        <v>24</v>
      </c>
      <c r="D307" s="3">
        <v>39</v>
      </c>
    </row>
    <row r="308" spans="1:4" ht="15.75" customHeight="1" x14ac:dyDescent="0.25">
      <c r="A308" s="2">
        <v>45746</v>
      </c>
      <c r="B308" s="3" t="s">
        <v>72</v>
      </c>
      <c r="C308" s="3" t="s">
        <v>13</v>
      </c>
      <c r="D308" s="3">
        <v>39</v>
      </c>
    </row>
    <row r="309" spans="1:4" ht="15.75" customHeight="1" x14ac:dyDescent="0.25">
      <c r="A309" s="2">
        <v>45684</v>
      </c>
      <c r="B309" s="3" t="s">
        <v>122</v>
      </c>
      <c r="C309" s="3" t="s">
        <v>26</v>
      </c>
      <c r="D309" s="3">
        <v>41</v>
      </c>
    </row>
    <row r="310" spans="1:4" ht="15.75" customHeight="1" x14ac:dyDescent="0.25">
      <c r="A310" s="2">
        <v>45695</v>
      </c>
      <c r="B310" s="3" t="s">
        <v>92</v>
      </c>
      <c r="C310" s="3" t="s">
        <v>82</v>
      </c>
      <c r="D310" s="3">
        <v>44</v>
      </c>
    </row>
    <row r="311" spans="1:4" ht="15.75" customHeight="1" x14ac:dyDescent="0.25">
      <c r="A311" s="2">
        <v>45743</v>
      </c>
      <c r="B311" s="3" t="s">
        <v>66</v>
      </c>
      <c r="C311" s="3" t="s">
        <v>52</v>
      </c>
      <c r="D311" s="3">
        <v>12</v>
      </c>
    </row>
    <row r="312" spans="1:4" ht="15.75" customHeight="1" x14ac:dyDescent="0.25">
      <c r="A312" s="2">
        <v>45684</v>
      </c>
      <c r="B312" s="3" t="s">
        <v>72</v>
      </c>
      <c r="C312" s="3" t="s">
        <v>13</v>
      </c>
      <c r="D312" s="3">
        <v>11</v>
      </c>
    </row>
    <row r="313" spans="1:4" ht="15.75" customHeight="1" x14ac:dyDescent="0.25">
      <c r="A313" s="2">
        <v>45733</v>
      </c>
      <c r="B313" s="3" t="s">
        <v>137</v>
      </c>
      <c r="C313" s="3" t="s">
        <v>20</v>
      </c>
      <c r="D313" s="3">
        <v>25</v>
      </c>
    </row>
    <row r="314" spans="1:4" ht="15.75" customHeight="1" x14ac:dyDescent="0.25">
      <c r="A314" s="2">
        <v>45727</v>
      </c>
      <c r="B314" s="3" t="s">
        <v>78</v>
      </c>
      <c r="C314" s="3" t="s">
        <v>79</v>
      </c>
      <c r="D314" s="3">
        <v>59</v>
      </c>
    </row>
    <row r="315" spans="1:4" ht="15.75" customHeight="1" x14ac:dyDescent="0.25">
      <c r="A315" s="2">
        <v>45677</v>
      </c>
      <c r="B315" s="3" t="s">
        <v>34</v>
      </c>
      <c r="C315" s="3" t="s">
        <v>28</v>
      </c>
      <c r="D315" s="3">
        <v>6</v>
      </c>
    </row>
    <row r="316" spans="1:4" ht="15.75" customHeight="1" x14ac:dyDescent="0.25">
      <c r="A316" s="2">
        <v>45662</v>
      </c>
      <c r="B316" s="3" t="s">
        <v>71</v>
      </c>
      <c r="C316" s="3" t="s">
        <v>20</v>
      </c>
      <c r="D316" s="3">
        <v>62</v>
      </c>
    </row>
    <row r="317" spans="1:4" ht="15.75" customHeight="1" x14ac:dyDescent="0.25">
      <c r="A317" s="2">
        <v>45740</v>
      </c>
      <c r="B317" s="3" t="s">
        <v>21</v>
      </c>
      <c r="C317" s="3" t="s">
        <v>22</v>
      </c>
      <c r="D317" s="3">
        <v>39</v>
      </c>
    </row>
    <row r="318" spans="1:4" ht="15.75" customHeight="1" x14ac:dyDescent="0.25">
      <c r="A318" s="2">
        <v>45738</v>
      </c>
      <c r="B318" s="3" t="s">
        <v>30</v>
      </c>
      <c r="C318" s="3" t="s">
        <v>31</v>
      </c>
      <c r="D318" s="3">
        <v>2</v>
      </c>
    </row>
    <row r="319" spans="1:4" ht="15.75" customHeight="1" x14ac:dyDescent="0.25">
      <c r="A319" s="2">
        <v>45721</v>
      </c>
      <c r="B319" s="3" t="s">
        <v>45</v>
      </c>
      <c r="C319" s="3" t="s">
        <v>24</v>
      </c>
      <c r="D319" s="3">
        <v>39</v>
      </c>
    </row>
    <row r="320" spans="1:4" ht="15.75" customHeight="1" x14ac:dyDescent="0.25">
      <c r="A320" s="2">
        <v>45662</v>
      </c>
      <c r="B320" s="3" t="s">
        <v>53</v>
      </c>
      <c r="C320" s="3" t="s">
        <v>50</v>
      </c>
      <c r="D320" s="3">
        <v>60</v>
      </c>
    </row>
    <row r="321" spans="1:4" ht="15.75" customHeight="1" x14ac:dyDescent="0.25">
      <c r="A321" s="2">
        <v>45696</v>
      </c>
      <c r="B321" s="3" t="s">
        <v>29</v>
      </c>
      <c r="C321" s="3" t="s">
        <v>16</v>
      </c>
      <c r="D321" s="3">
        <v>62</v>
      </c>
    </row>
    <row r="322" spans="1:4" ht="15.75" customHeight="1" x14ac:dyDescent="0.25">
      <c r="A322" s="2">
        <v>45741</v>
      </c>
      <c r="B322" s="3" t="s">
        <v>57</v>
      </c>
      <c r="C322" s="3" t="s">
        <v>8</v>
      </c>
      <c r="D322" s="3">
        <v>78</v>
      </c>
    </row>
    <row r="323" spans="1:4" ht="15.75" customHeight="1" x14ac:dyDescent="0.25">
      <c r="A323" s="2">
        <v>45669</v>
      </c>
      <c r="B323" s="3" t="s">
        <v>120</v>
      </c>
      <c r="C323" s="3" t="s">
        <v>26</v>
      </c>
      <c r="D323" s="3">
        <v>45</v>
      </c>
    </row>
    <row r="324" spans="1:4" ht="15.75" customHeight="1" x14ac:dyDescent="0.25">
      <c r="A324" s="2">
        <v>45746</v>
      </c>
      <c r="B324" s="3" t="s">
        <v>6</v>
      </c>
      <c r="C324" s="3" t="s">
        <v>5</v>
      </c>
      <c r="D324" s="3">
        <v>67</v>
      </c>
    </row>
    <row r="325" spans="1:4" ht="15.75" customHeight="1" x14ac:dyDescent="0.25">
      <c r="A325" s="2">
        <v>45692</v>
      </c>
      <c r="B325" s="3" t="s">
        <v>86</v>
      </c>
      <c r="C325" s="3" t="s">
        <v>26</v>
      </c>
      <c r="D325" s="3">
        <v>51</v>
      </c>
    </row>
    <row r="326" spans="1:4" ht="15.75" customHeight="1" x14ac:dyDescent="0.25">
      <c r="A326" s="2">
        <v>45667</v>
      </c>
      <c r="B326" s="3" t="s">
        <v>86</v>
      </c>
      <c r="C326" s="3" t="s">
        <v>26</v>
      </c>
      <c r="D326" s="3">
        <v>75</v>
      </c>
    </row>
    <row r="327" spans="1:4" ht="15.75" customHeight="1" x14ac:dyDescent="0.25">
      <c r="A327" s="2">
        <v>45667</v>
      </c>
      <c r="B327" s="3" t="s">
        <v>19</v>
      </c>
      <c r="C327" s="3" t="s">
        <v>20</v>
      </c>
      <c r="D327" s="3">
        <v>31</v>
      </c>
    </row>
    <row r="328" spans="1:4" ht="15.75" customHeight="1" x14ac:dyDescent="0.25">
      <c r="A328" s="2">
        <v>45664</v>
      </c>
      <c r="B328" s="3" t="s">
        <v>93</v>
      </c>
      <c r="C328" s="3" t="s">
        <v>82</v>
      </c>
      <c r="D328" s="3">
        <v>27</v>
      </c>
    </row>
    <row r="329" spans="1:4" ht="15.75" customHeight="1" x14ac:dyDescent="0.25">
      <c r="A329" s="2">
        <v>45732</v>
      </c>
      <c r="B329" s="3" t="s">
        <v>32</v>
      </c>
      <c r="C329" s="3" t="s">
        <v>22</v>
      </c>
      <c r="D329" s="3">
        <v>59</v>
      </c>
    </row>
    <row r="330" spans="1:4" ht="15.75" customHeight="1" x14ac:dyDescent="0.25">
      <c r="A330" s="2">
        <v>45680</v>
      </c>
      <c r="B330" s="3" t="s">
        <v>129</v>
      </c>
      <c r="C330" s="3" t="s">
        <v>41</v>
      </c>
      <c r="D330" s="3">
        <v>48</v>
      </c>
    </row>
    <row r="331" spans="1:4" ht="15.75" customHeight="1" x14ac:dyDescent="0.25">
      <c r="A331" s="2">
        <v>45738</v>
      </c>
      <c r="B331" s="3" t="s">
        <v>81</v>
      </c>
      <c r="C331" s="3" t="s">
        <v>82</v>
      </c>
      <c r="D331" s="3">
        <v>64</v>
      </c>
    </row>
    <row r="332" spans="1:4" ht="15.75" customHeight="1" x14ac:dyDescent="0.25">
      <c r="A332" s="2">
        <v>45746</v>
      </c>
      <c r="B332" s="3" t="s">
        <v>66</v>
      </c>
      <c r="C332" s="3" t="s">
        <v>52</v>
      </c>
      <c r="D332" s="3">
        <v>77</v>
      </c>
    </row>
    <row r="333" spans="1:4" ht="15.75" customHeight="1" x14ac:dyDescent="0.25">
      <c r="A333" s="2">
        <v>45683</v>
      </c>
      <c r="B333" s="3" t="s">
        <v>93</v>
      </c>
      <c r="C333" s="3" t="s">
        <v>82</v>
      </c>
      <c r="D333" s="3">
        <v>79</v>
      </c>
    </row>
    <row r="334" spans="1:4" ht="15.75" customHeight="1" x14ac:dyDescent="0.25">
      <c r="A334" s="2">
        <v>45706</v>
      </c>
      <c r="B334" s="3" t="s">
        <v>104</v>
      </c>
      <c r="C334" s="3" t="s">
        <v>5</v>
      </c>
      <c r="D334" s="3">
        <v>68</v>
      </c>
    </row>
    <row r="335" spans="1:4" ht="15.75" customHeight="1" x14ac:dyDescent="0.25">
      <c r="A335" s="2">
        <v>45694</v>
      </c>
      <c r="B335" s="3" t="s">
        <v>89</v>
      </c>
      <c r="C335" s="3" t="s">
        <v>79</v>
      </c>
      <c r="D335" s="3">
        <v>29</v>
      </c>
    </row>
    <row r="336" spans="1:4" ht="15.75" customHeight="1" x14ac:dyDescent="0.25">
      <c r="A336" s="2">
        <v>45738</v>
      </c>
      <c r="B336" s="3" t="s">
        <v>115</v>
      </c>
      <c r="C336" s="3" t="s">
        <v>50</v>
      </c>
      <c r="D336" s="3">
        <v>20</v>
      </c>
    </row>
    <row r="337" spans="1:4" ht="15.75" customHeight="1" x14ac:dyDescent="0.25">
      <c r="A337" s="2">
        <v>45709</v>
      </c>
      <c r="B337" s="3" t="s">
        <v>112</v>
      </c>
      <c r="C337" s="3" t="s">
        <v>31</v>
      </c>
      <c r="D337" s="3">
        <v>55</v>
      </c>
    </row>
    <row r="338" spans="1:4" ht="15.75" customHeight="1" x14ac:dyDescent="0.25">
      <c r="A338" s="2">
        <v>45725</v>
      </c>
      <c r="B338" s="3" t="s">
        <v>17</v>
      </c>
      <c r="C338" s="3" t="s">
        <v>16</v>
      </c>
      <c r="D338" s="3">
        <v>53</v>
      </c>
    </row>
    <row r="339" spans="1:4" ht="15.75" customHeight="1" x14ac:dyDescent="0.25">
      <c r="A339" s="2">
        <v>45734</v>
      </c>
      <c r="B339" s="3" t="s">
        <v>135</v>
      </c>
      <c r="C339" s="3" t="s">
        <v>62</v>
      </c>
      <c r="D339" s="3">
        <v>15</v>
      </c>
    </row>
    <row r="340" spans="1:4" ht="15.75" customHeight="1" x14ac:dyDescent="0.25">
      <c r="A340" s="2">
        <v>45667</v>
      </c>
      <c r="B340" s="3" t="s">
        <v>108</v>
      </c>
      <c r="C340" s="3" t="s">
        <v>109</v>
      </c>
      <c r="D340" s="3">
        <v>47</v>
      </c>
    </row>
    <row r="341" spans="1:4" ht="15.75" customHeight="1" x14ac:dyDescent="0.25">
      <c r="A341" s="2">
        <v>45661</v>
      </c>
      <c r="B341" s="3" t="s">
        <v>130</v>
      </c>
      <c r="C341" s="3" t="s">
        <v>52</v>
      </c>
      <c r="D341" s="3">
        <v>33</v>
      </c>
    </row>
    <row r="342" spans="1:4" ht="15.75" customHeight="1" x14ac:dyDescent="0.25">
      <c r="A342" s="2">
        <v>45667</v>
      </c>
      <c r="B342" s="3" t="s">
        <v>94</v>
      </c>
      <c r="C342" s="3" t="s">
        <v>52</v>
      </c>
      <c r="D342" s="3">
        <v>14</v>
      </c>
    </row>
    <row r="343" spans="1:4" ht="15.75" customHeight="1" x14ac:dyDescent="0.25">
      <c r="A343" s="2">
        <v>45721</v>
      </c>
      <c r="B343" s="3" t="s">
        <v>69</v>
      </c>
      <c r="C343" s="3" t="s">
        <v>24</v>
      </c>
      <c r="D343" s="3">
        <v>9</v>
      </c>
    </row>
    <row r="344" spans="1:4" ht="15.75" customHeight="1" x14ac:dyDescent="0.25">
      <c r="A344" s="2">
        <v>45688</v>
      </c>
      <c r="B344" s="3" t="s">
        <v>30</v>
      </c>
      <c r="C344" s="3" t="s">
        <v>31</v>
      </c>
      <c r="D344" s="3">
        <v>23</v>
      </c>
    </row>
    <row r="345" spans="1:4" ht="15.75" customHeight="1" x14ac:dyDescent="0.25">
      <c r="A345" s="2">
        <v>45720</v>
      </c>
      <c r="B345" s="3" t="s">
        <v>23</v>
      </c>
      <c r="C345" s="3" t="s">
        <v>24</v>
      </c>
      <c r="D345" s="3">
        <v>70</v>
      </c>
    </row>
    <row r="346" spans="1:4" ht="15.75" customHeight="1" x14ac:dyDescent="0.25">
      <c r="A346" s="2">
        <v>45704</v>
      </c>
      <c r="B346" s="3" t="s">
        <v>74</v>
      </c>
      <c r="C346" s="3" t="s">
        <v>75</v>
      </c>
      <c r="D346" s="3">
        <v>47</v>
      </c>
    </row>
    <row r="347" spans="1:4" ht="15.75" customHeight="1" x14ac:dyDescent="0.25">
      <c r="A347" s="2">
        <v>45744</v>
      </c>
      <c r="B347" s="3" t="s">
        <v>119</v>
      </c>
      <c r="C347" s="3" t="s">
        <v>16</v>
      </c>
      <c r="D347" s="3">
        <v>55</v>
      </c>
    </row>
    <row r="348" spans="1:4" ht="15.75" customHeight="1" x14ac:dyDescent="0.25">
      <c r="A348" s="2">
        <v>45727</v>
      </c>
      <c r="B348" s="3" t="s">
        <v>83</v>
      </c>
      <c r="C348" s="3" t="s">
        <v>5</v>
      </c>
      <c r="D348" s="3">
        <v>67</v>
      </c>
    </row>
    <row r="349" spans="1:4" ht="15.75" customHeight="1" x14ac:dyDescent="0.25">
      <c r="A349" s="2">
        <v>45661</v>
      </c>
      <c r="B349" s="3" t="s">
        <v>123</v>
      </c>
      <c r="C349" s="3" t="s">
        <v>79</v>
      </c>
      <c r="D349" s="3">
        <v>76</v>
      </c>
    </row>
    <row r="350" spans="1:4" ht="15.75" customHeight="1" x14ac:dyDescent="0.25">
      <c r="A350" s="2">
        <v>45706</v>
      </c>
      <c r="B350" s="3" t="s">
        <v>73</v>
      </c>
      <c r="C350" s="3" t="s">
        <v>13</v>
      </c>
      <c r="D350" s="3">
        <v>42</v>
      </c>
    </row>
    <row r="351" spans="1:4" ht="15.75" customHeight="1" x14ac:dyDescent="0.25">
      <c r="A351" s="2">
        <v>45667</v>
      </c>
      <c r="B351" s="3" t="s">
        <v>94</v>
      </c>
      <c r="C351" s="3" t="s">
        <v>52</v>
      </c>
      <c r="D351" s="3">
        <v>8</v>
      </c>
    </row>
    <row r="352" spans="1:4" ht="15.75" customHeight="1" x14ac:dyDescent="0.25">
      <c r="A352" s="2">
        <v>45699</v>
      </c>
      <c r="B352" s="3" t="s">
        <v>42</v>
      </c>
      <c r="C352" s="3" t="s">
        <v>24</v>
      </c>
      <c r="D352" s="3">
        <v>75</v>
      </c>
    </row>
    <row r="353" spans="1:4" ht="15.75" customHeight="1" x14ac:dyDescent="0.25">
      <c r="A353" s="2">
        <v>45731</v>
      </c>
      <c r="B353" s="3" t="s">
        <v>117</v>
      </c>
      <c r="C353" s="3" t="s">
        <v>28</v>
      </c>
      <c r="D353" s="3">
        <v>24</v>
      </c>
    </row>
    <row r="354" spans="1:4" ht="15.75" customHeight="1" x14ac:dyDescent="0.25">
      <c r="A354" s="2">
        <v>45744</v>
      </c>
      <c r="B354" s="3" t="s">
        <v>46</v>
      </c>
      <c r="C354" s="3" t="s">
        <v>20</v>
      </c>
      <c r="D354" s="3">
        <v>38</v>
      </c>
    </row>
    <row r="355" spans="1:4" ht="15.75" customHeight="1" x14ac:dyDescent="0.25">
      <c r="A355" s="2">
        <v>45690</v>
      </c>
      <c r="B355" s="3" t="s">
        <v>87</v>
      </c>
      <c r="C355" s="3" t="s">
        <v>39</v>
      </c>
      <c r="D355" s="3">
        <v>77</v>
      </c>
    </row>
    <row r="356" spans="1:4" ht="15.75" customHeight="1" x14ac:dyDescent="0.25">
      <c r="A356" s="2">
        <v>45708</v>
      </c>
      <c r="B356" s="3" t="s">
        <v>49</v>
      </c>
      <c r="C356" s="3" t="s">
        <v>50</v>
      </c>
      <c r="D356" s="3">
        <v>1</v>
      </c>
    </row>
    <row r="357" spans="1:4" ht="15.75" customHeight="1" x14ac:dyDescent="0.25">
      <c r="A357" s="2">
        <v>45737</v>
      </c>
      <c r="B357" s="3" t="s">
        <v>43</v>
      </c>
      <c r="C357" s="3" t="s">
        <v>16</v>
      </c>
      <c r="D357" s="3">
        <v>71</v>
      </c>
    </row>
    <row r="358" spans="1:4" ht="15.75" customHeight="1" x14ac:dyDescent="0.25">
      <c r="A358" s="2">
        <v>45734</v>
      </c>
      <c r="B358" s="3" t="s">
        <v>76</v>
      </c>
      <c r="C358" s="3" t="s">
        <v>22</v>
      </c>
      <c r="D358" s="3">
        <v>58</v>
      </c>
    </row>
    <row r="359" spans="1:4" ht="15.75" customHeight="1" x14ac:dyDescent="0.25">
      <c r="A359" s="2">
        <v>45726</v>
      </c>
      <c r="B359" s="3" t="s">
        <v>54</v>
      </c>
      <c r="C359" s="3" t="s">
        <v>22</v>
      </c>
      <c r="D359" s="3">
        <v>65</v>
      </c>
    </row>
    <row r="360" spans="1:4" ht="15.75" customHeight="1" x14ac:dyDescent="0.25">
      <c r="A360" s="2">
        <v>45694</v>
      </c>
      <c r="B360" s="3" t="s">
        <v>124</v>
      </c>
      <c r="C360" s="3" t="s">
        <v>26</v>
      </c>
      <c r="D360" s="3">
        <v>12</v>
      </c>
    </row>
    <row r="361" spans="1:4" ht="15.75" customHeight="1" x14ac:dyDescent="0.25">
      <c r="A361" s="2">
        <v>45725</v>
      </c>
      <c r="B361" s="3" t="s">
        <v>133</v>
      </c>
      <c r="C361" s="3" t="s">
        <v>24</v>
      </c>
      <c r="D361" s="3">
        <v>58</v>
      </c>
    </row>
    <row r="362" spans="1:4" ht="15.75" customHeight="1" x14ac:dyDescent="0.25">
      <c r="A362" s="2">
        <v>45670</v>
      </c>
      <c r="B362" s="3" t="s">
        <v>129</v>
      </c>
      <c r="C362" s="3" t="s">
        <v>41</v>
      </c>
      <c r="D362" s="3">
        <v>6</v>
      </c>
    </row>
    <row r="363" spans="1:4" ht="15.75" customHeight="1" x14ac:dyDescent="0.25">
      <c r="A363" s="2">
        <v>45664</v>
      </c>
      <c r="B363" s="3" t="s">
        <v>95</v>
      </c>
      <c r="C363" s="3" t="s">
        <v>39</v>
      </c>
      <c r="D363" s="3">
        <v>16</v>
      </c>
    </row>
    <row r="364" spans="1:4" ht="15.75" customHeight="1" x14ac:dyDescent="0.25">
      <c r="A364" s="2">
        <v>45685</v>
      </c>
      <c r="B364" s="3" t="s">
        <v>34</v>
      </c>
      <c r="C364" s="3" t="s">
        <v>28</v>
      </c>
      <c r="D364" s="3">
        <v>69</v>
      </c>
    </row>
    <row r="365" spans="1:4" ht="15.75" customHeight="1" x14ac:dyDescent="0.25">
      <c r="A365" s="2">
        <v>45728</v>
      </c>
      <c r="B365" s="3" t="s">
        <v>81</v>
      </c>
      <c r="C365" s="3" t="s">
        <v>82</v>
      </c>
      <c r="D365" s="3">
        <v>18</v>
      </c>
    </row>
    <row r="366" spans="1:4" ht="15.75" customHeight="1" x14ac:dyDescent="0.25">
      <c r="A366" s="2">
        <v>45689</v>
      </c>
      <c r="B366" s="3" t="s">
        <v>99</v>
      </c>
      <c r="C366" s="3" t="s">
        <v>16</v>
      </c>
      <c r="D366" s="3">
        <v>26</v>
      </c>
    </row>
    <row r="367" spans="1:4" ht="15.75" customHeight="1" x14ac:dyDescent="0.25">
      <c r="A367" s="2">
        <v>45673</v>
      </c>
      <c r="B367" s="3" t="s">
        <v>80</v>
      </c>
      <c r="C367" s="3" t="s">
        <v>22</v>
      </c>
      <c r="D367" s="3">
        <v>62</v>
      </c>
    </row>
    <row r="368" spans="1:4" ht="15.75" customHeight="1" x14ac:dyDescent="0.25">
      <c r="A368" s="2">
        <v>45715</v>
      </c>
      <c r="B368" s="3" t="s">
        <v>116</v>
      </c>
      <c r="C368" s="3" t="s">
        <v>82</v>
      </c>
      <c r="D368" s="3">
        <v>18</v>
      </c>
    </row>
    <row r="369" spans="1:4" ht="15.75" customHeight="1" x14ac:dyDescent="0.25">
      <c r="A369" s="2">
        <v>45667</v>
      </c>
      <c r="B369" s="3" t="s">
        <v>78</v>
      </c>
      <c r="C369" s="3" t="s">
        <v>79</v>
      </c>
      <c r="D369" s="3">
        <v>5</v>
      </c>
    </row>
    <row r="370" spans="1:4" ht="15.75" customHeight="1" x14ac:dyDescent="0.25">
      <c r="A370" s="2">
        <v>45684</v>
      </c>
      <c r="B370" s="3" t="s">
        <v>123</v>
      </c>
      <c r="C370" s="3" t="s">
        <v>79</v>
      </c>
      <c r="D370" s="3">
        <v>64</v>
      </c>
    </row>
    <row r="371" spans="1:4" ht="15.75" customHeight="1" x14ac:dyDescent="0.25">
      <c r="A371" s="2">
        <v>45737</v>
      </c>
      <c r="B371" s="3" t="s">
        <v>23</v>
      </c>
      <c r="C371" s="3" t="s">
        <v>24</v>
      </c>
      <c r="D371" s="3">
        <v>32</v>
      </c>
    </row>
    <row r="372" spans="1:4" ht="15.75" customHeight="1" x14ac:dyDescent="0.25">
      <c r="A372" s="2">
        <v>45681</v>
      </c>
      <c r="B372" s="3" t="s">
        <v>21</v>
      </c>
      <c r="C372" s="3" t="s">
        <v>22</v>
      </c>
      <c r="D372" s="3">
        <v>54</v>
      </c>
    </row>
    <row r="373" spans="1:4" ht="15.75" customHeight="1" x14ac:dyDescent="0.25">
      <c r="A373" s="2">
        <v>45702</v>
      </c>
      <c r="B373" s="3" t="s">
        <v>134</v>
      </c>
      <c r="C373" s="3" t="s">
        <v>85</v>
      </c>
      <c r="D373" s="3">
        <v>1</v>
      </c>
    </row>
    <row r="374" spans="1:4" ht="15.75" customHeight="1" x14ac:dyDescent="0.25">
      <c r="A374" s="2">
        <v>45686</v>
      </c>
      <c r="B374" s="3" t="s">
        <v>141</v>
      </c>
      <c r="C374" s="3" t="s">
        <v>24</v>
      </c>
      <c r="D374" s="3">
        <v>44</v>
      </c>
    </row>
    <row r="375" spans="1:4" ht="15.75" customHeight="1" x14ac:dyDescent="0.25">
      <c r="A375" s="2">
        <v>45696</v>
      </c>
      <c r="B375" s="3" t="s">
        <v>49</v>
      </c>
      <c r="C375" s="3" t="s">
        <v>50</v>
      </c>
      <c r="D375" s="3">
        <v>39</v>
      </c>
    </row>
    <row r="376" spans="1:4" ht="15.75" customHeight="1" x14ac:dyDescent="0.25">
      <c r="A376" s="2">
        <v>45682</v>
      </c>
      <c r="B376" s="3" t="s">
        <v>122</v>
      </c>
      <c r="C376" s="3" t="s">
        <v>26</v>
      </c>
      <c r="D376" s="3">
        <v>29</v>
      </c>
    </row>
    <row r="377" spans="1:4" ht="15.75" customHeight="1" x14ac:dyDescent="0.25">
      <c r="A377" s="2">
        <v>45719</v>
      </c>
      <c r="B377" s="3" t="s">
        <v>74</v>
      </c>
      <c r="C377" s="3" t="s">
        <v>75</v>
      </c>
      <c r="D377" s="3">
        <v>20</v>
      </c>
    </row>
    <row r="378" spans="1:4" ht="15.75" customHeight="1" x14ac:dyDescent="0.25">
      <c r="A378" s="2">
        <v>45687</v>
      </c>
      <c r="B378" s="3" t="s">
        <v>34</v>
      </c>
      <c r="C378" s="3" t="s">
        <v>28</v>
      </c>
      <c r="D378" s="3">
        <v>73</v>
      </c>
    </row>
    <row r="379" spans="1:4" ht="15.75" customHeight="1" x14ac:dyDescent="0.25">
      <c r="A379" s="2">
        <v>45676</v>
      </c>
      <c r="B379" s="3" t="s">
        <v>59</v>
      </c>
      <c r="C379" s="3" t="s">
        <v>16</v>
      </c>
      <c r="D379" s="3">
        <v>37</v>
      </c>
    </row>
    <row r="380" spans="1:4" ht="15.75" customHeight="1" x14ac:dyDescent="0.25">
      <c r="A380" s="2">
        <v>45721</v>
      </c>
      <c r="B380" s="3" t="s">
        <v>95</v>
      </c>
      <c r="C380" s="3" t="s">
        <v>39</v>
      </c>
      <c r="D380" s="3">
        <v>14</v>
      </c>
    </row>
    <row r="381" spans="1:4" ht="15.75" customHeight="1" x14ac:dyDescent="0.25">
      <c r="A381" s="2">
        <v>45691</v>
      </c>
      <c r="B381" s="3" t="s">
        <v>71</v>
      </c>
      <c r="C381" s="3" t="s">
        <v>20</v>
      </c>
      <c r="D381" s="3">
        <v>5</v>
      </c>
    </row>
    <row r="382" spans="1:4" ht="15.75" customHeight="1" x14ac:dyDescent="0.25">
      <c r="A382" s="2">
        <v>45664</v>
      </c>
      <c r="B382" s="3" t="s">
        <v>48</v>
      </c>
      <c r="C382" s="3" t="s">
        <v>22</v>
      </c>
      <c r="D382" s="3">
        <v>47</v>
      </c>
    </row>
    <row r="383" spans="1:4" ht="15.75" customHeight="1" x14ac:dyDescent="0.25">
      <c r="A383" s="2">
        <v>45685</v>
      </c>
      <c r="B383" s="3" t="s">
        <v>112</v>
      </c>
      <c r="C383" s="3" t="s">
        <v>31</v>
      </c>
      <c r="D383" s="3">
        <v>5</v>
      </c>
    </row>
    <row r="384" spans="1:4" ht="15.75" customHeight="1" x14ac:dyDescent="0.25">
      <c r="A384" s="2">
        <v>45729</v>
      </c>
      <c r="B384" s="3" t="s">
        <v>143</v>
      </c>
      <c r="C384" s="3" t="s">
        <v>16</v>
      </c>
      <c r="D384" s="3">
        <v>32</v>
      </c>
    </row>
    <row r="385" spans="1:4" ht="15.75" customHeight="1" x14ac:dyDescent="0.25">
      <c r="A385" s="2">
        <v>45668</v>
      </c>
      <c r="B385" s="3" t="s">
        <v>120</v>
      </c>
      <c r="C385" s="3" t="s">
        <v>26</v>
      </c>
      <c r="D385" s="3">
        <v>26</v>
      </c>
    </row>
    <row r="386" spans="1:4" ht="15.75" customHeight="1" x14ac:dyDescent="0.25">
      <c r="A386" s="2">
        <v>45658</v>
      </c>
      <c r="B386" s="3" t="s">
        <v>129</v>
      </c>
      <c r="C386" s="3" t="s">
        <v>41</v>
      </c>
      <c r="D386" s="3">
        <v>14</v>
      </c>
    </row>
    <row r="387" spans="1:4" ht="15.75" customHeight="1" x14ac:dyDescent="0.25">
      <c r="A387" s="2">
        <v>45679</v>
      </c>
      <c r="B387" s="3" t="s">
        <v>121</v>
      </c>
      <c r="C387" s="3" t="s">
        <v>50</v>
      </c>
      <c r="D387" s="3">
        <v>53</v>
      </c>
    </row>
    <row r="388" spans="1:4" ht="15.75" customHeight="1" x14ac:dyDescent="0.25">
      <c r="A388" s="2">
        <v>45657</v>
      </c>
      <c r="B388" s="3" t="s">
        <v>72</v>
      </c>
      <c r="C388" s="3" t="s">
        <v>13</v>
      </c>
      <c r="D388" s="3">
        <v>69</v>
      </c>
    </row>
    <row r="389" spans="1:4" ht="15.75" customHeight="1" x14ac:dyDescent="0.25">
      <c r="A389" s="2">
        <v>45688</v>
      </c>
      <c r="B389" s="3" t="s">
        <v>19</v>
      </c>
      <c r="C389" s="3" t="s">
        <v>20</v>
      </c>
      <c r="D389" s="3">
        <v>31</v>
      </c>
    </row>
    <row r="390" spans="1:4" ht="15.75" customHeight="1" x14ac:dyDescent="0.25">
      <c r="A390" s="2">
        <v>45665</v>
      </c>
      <c r="B390" s="3" t="s">
        <v>124</v>
      </c>
      <c r="C390" s="3" t="s">
        <v>26</v>
      </c>
      <c r="D390" s="3">
        <v>38</v>
      </c>
    </row>
    <row r="391" spans="1:4" ht="15.75" customHeight="1" x14ac:dyDescent="0.25">
      <c r="A391" s="2">
        <v>45727</v>
      </c>
      <c r="B391" s="3" t="s">
        <v>103</v>
      </c>
      <c r="C391" s="3" t="s">
        <v>26</v>
      </c>
      <c r="D391" s="3">
        <v>69</v>
      </c>
    </row>
    <row r="392" spans="1:4" ht="15.75" customHeight="1" x14ac:dyDescent="0.25">
      <c r="A392" s="2">
        <v>45684</v>
      </c>
      <c r="B392" s="3" t="s">
        <v>123</v>
      </c>
      <c r="C392" s="3" t="s">
        <v>79</v>
      </c>
      <c r="D392" s="3">
        <v>47</v>
      </c>
    </row>
    <row r="393" spans="1:4" ht="15.75" customHeight="1" x14ac:dyDescent="0.25">
      <c r="A393" s="2">
        <v>45657</v>
      </c>
      <c r="B393" s="3" t="s">
        <v>17</v>
      </c>
      <c r="C393" s="3" t="s">
        <v>16</v>
      </c>
      <c r="D393" s="3">
        <v>33</v>
      </c>
    </row>
    <row r="394" spans="1:4" ht="15.75" customHeight="1" x14ac:dyDescent="0.25">
      <c r="A394" s="2">
        <v>45673</v>
      </c>
      <c r="B394" s="3" t="s">
        <v>55</v>
      </c>
      <c r="C394" s="3" t="s">
        <v>24</v>
      </c>
      <c r="D394" s="3">
        <v>80</v>
      </c>
    </row>
    <row r="395" spans="1:4" ht="15.75" customHeight="1" x14ac:dyDescent="0.25">
      <c r="A395" s="2">
        <v>45699</v>
      </c>
      <c r="B395" s="3" t="s">
        <v>136</v>
      </c>
      <c r="C395" s="3" t="s">
        <v>79</v>
      </c>
      <c r="D395" s="3">
        <v>43</v>
      </c>
    </row>
    <row r="396" spans="1:4" ht="15.75" customHeight="1" x14ac:dyDescent="0.25">
      <c r="A396" s="2">
        <v>45696</v>
      </c>
      <c r="B396" s="3" t="s">
        <v>68</v>
      </c>
      <c r="C396" s="3" t="s">
        <v>62</v>
      </c>
      <c r="D396" s="3">
        <v>24</v>
      </c>
    </row>
    <row r="397" spans="1:4" ht="15.75" customHeight="1" x14ac:dyDescent="0.25">
      <c r="A397" s="2">
        <v>45726</v>
      </c>
      <c r="B397" s="3" t="s">
        <v>7</v>
      </c>
      <c r="C397" s="3" t="s">
        <v>8</v>
      </c>
      <c r="D397" s="3">
        <v>20</v>
      </c>
    </row>
    <row r="398" spans="1:4" ht="15.75" customHeight="1" x14ac:dyDescent="0.25">
      <c r="A398" s="2">
        <v>45670</v>
      </c>
      <c r="B398" s="3" t="s">
        <v>71</v>
      </c>
      <c r="C398" s="3" t="s">
        <v>20</v>
      </c>
      <c r="D398" s="3">
        <v>19</v>
      </c>
    </row>
    <row r="399" spans="1:4" ht="15.75" customHeight="1" x14ac:dyDescent="0.25">
      <c r="A399" s="2">
        <v>45677</v>
      </c>
      <c r="B399" s="3" t="s">
        <v>140</v>
      </c>
      <c r="C399" s="3" t="s">
        <v>85</v>
      </c>
      <c r="D399" s="3">
        <v>9</v>
      </c>
    </row>
    <row r="400" spans="1:4" ht="15.75" customHeight="1" x14ac:dyDescent="0.25">
      <c r="A400" s="2">
        <v>45742</v>
      </c>
      <c r="B400" s="3" t="s">
        <v>131</v>
      </c>
      <c r="C400" s="3" t="s">
        <v>26</v>
      </c>
      <c r="D400" s="3">
        <v>23</v>
      </c>
    </row>
    <row r="401" spans="1:4" ht="15.75" customHeight="1" x14ac:dyDescent="0.25">
      <c r="A401" s="2">
        <v>45738</v>
      </c>
      <c r="B401" s="3" t="s">
        <v>72</v>
      </c>
      <c r="C401" s="3" t="s">
        <v>13</v>
      </c>
      <c r="D401" s="3">
        <v>73</v>
      </c>
    </row>
    <row r="402" spans="1:4" ht="15.75" customHeight="1" x14ac:dyDescent="0.25">
      <c r="A402" s="2">
        <v>45669</v>
      </c>
      <c r="B402" s="3" t="s">
        <v>74</v>
      </c>
      <c r="C402" s="3" t="s">
        <v>75</v>
      </c>
      <c r="D402" s="3">
        <v>55</v>
      </c>
    </row>
    <row r="403" spans="1:4" ht="15.75" customHeight="1" x14ac:dyDescent="0.25">
      <c r="A403" s="2">
        <v>45738</v>
      </c>
      <c r="B403" s="3" t="s">
        <v>81</v>
      </c>
      <c r="C403" s="3" t="s">
        <v>82</v>
      </c>
      <c r="D403" s="3">
        <v>6</v>
      </c>
    </row>
    <row r="404" spans="1:4" ht="15.75" customHeight="1" x14ac:dyDescent="0.25">
      <c r="A404" s="2">
        <v>45686</v>
      </c>
      <c r="B404" s="3" t="s">
        <v>108</v>
      </c>
      <c r="C404" s="3" t="s">
        <v>109</v>
      </c>
      <c r="D404" s="3">
        <v>13</v>
      </c>
    </row>
    <row r="405" spans="1:4" ht="15.75" customHeight="1" x14ac:dyDescent="0.25">
      <c r="A405" s="2">
        <v>45719</v>
      </c>
      <c r="B405" s="3" t="s">
        <v>11</v>
      </c>
      <c r="C405" s="3" t="s">
        <v>5</v>
      </c>
      <c r="D405" s="3">
        <v>43</v>
      </c>
    </row>
    <row r="406" spans="1:4" ht="15.75" customHeight="1" x14ac:dyDescent="0.25">
      <c r="A406" s="2">
        <v>45746</v>
      </c>
      <c r="B406" s="3" t="s">
        <v>40</v>
      </c>
      <c r="C406" s="3" t="s">
        <v>41</v>
      </c>
      <c r="D406" s="3">
        <v>63</v>
      </c>
    </row>
    <row r="407" spans="1:4" ht="15.75" customHeight="1" x14ac:dyDescent="0.25">
      <c r="A407" s="2">
        <v>45658</v>
      </c>
      <c r="B407" s="3" t="s">
        <v>83</v>
      </c>
      <c r="C407" s="3" t="s">
        <v>5</v>
      </c>
      <c r="D407" s="3">
        <v>12</v>
      </c>
    </row>
    <row r="408" spans="1:4" ht="15.75" customHeight="1" x14ac:dyDescent="0.25">
      <c r="A408" s="2">
        <v>45673</v>
      </c>
      <c r="B408" s="3" t="s">
        <v>91</v>
      </c>
      <c r="C408" s="3" t="s">
        <v>26</v>
      </c>
      <c r="D408" s="3">
        <v>60</v>
      </c>
    </row>
    <row r="409" spans="1:4" ht="15.75" customHeight="1" x14ac:dyDescent="0.25">
      <c r="A409" s="2">
        <v>45704</v>
      </c>
      <c r="B409" s="3" t="s">
        <v>96</v>
      </c>
      <c r="C409" s="3" t="s">
        <v>50</v>
      </c>
      <c r="D409" s="3">
        <v>20</v>
      </c>
    </row>
    <row r="410" spans="1:4" ht="15.75" customHeight="1" x14ac:dyDescent="0.25">
      <c r="A410" s="2">
        <v>45685</v>
      </c>
      <c r="B410" s="3" t="s">
        <v>70</v>
      </c>
      <c r="C410" s="3" t="s">
        <v>52</v>
      </c>
      <c r="D410" s="3">
        <v>44</v>
      </c>
    </row>
    <row r="411" spans="1:4" ht="15.75" customHeight="1" x14ac:dyDescent="0.25">
      <c r="A411" s="2">
        <v>45693</v>
      </c>
      <c r="B411" s="3" t="s">
        <v>34</v>
      </c>
      <c r="C411" s="3" t="s">
        <v>28</v>
      </c>
      <c r="D411" s="3">
        <v>46</v>
      </c>
    </row>
    <row r="412" spans="1:4" ht="15.75" customHeight="1" x14ac:dyDescent="0.25">
      <c r="A412" s="2">
        <v>45677</v>
      </c>
      <c r="B412" s="3" t="s">
        <v>71</v>
      </c>
      <c r="C412" s="3" t="s">
        <v>20</v>
      </c>
      <c r="D412" s="3">
        <v>26</v>
      </c>
    </row>
    <row r="413" spans="1:4" ht="15.75" customHeight="1" x14ac:dyDescent="0.25">
      <c r="A413" s="2">
        <v>45725</v>
      </c>
      <c r="B413" s="3" t="s">
        <v>32</v>
      </c>
      <c r="C413" s="3" t="s">
        <v>22</v>
      </c>
      <c r="D413" s="3">
        <v>39</v>
      </c>
    </row>
    <row r="414" spans="1:4" ht="15.75" customHeight="1" x14ac:dyDescent="0.25">
      <c r="A414" s="2">
        <v>45690</v>
      </c>
      <c r="B414" s="3" t="s">
        <v>102</v>
      </c>
      <c r="C414" s="3" t="s">
        <v>41</v>
      </c>
      <c r="D414" s="3">
        <v>66</v>
      </c>
    </row>
    <row r="415" spans="1:4" ht="15.75" customHeight="1" x14ac:dyDescent="0.25">
      <c r="A415" s="2">
        <v>45726</v>
      </c>
      <c r="B415" s="3" t="s">
        <v>132</v>
      </c>
      <c r="C415" s="3" t="s">
        <v>26</v>
      </c>
      <c r="D415" s="3">
        <v>48</v>
      </c>
    </row>
    <row r="416" spans="1:4" ht="15.75" customHeight="1" x14ac:dyDescent="0.25">
      <c r="A416" s="2">
        <v>45676</v>
      </c>
      <c r="B416" s="3" t="s">
        <v>110</v>
      </c>
      <c r="C416" s="3" t="s">
        <v>8</v>
      </c>
      <c r="D416" s="3">
        <v>52</v>
      </c>
    </row>
    <row r="417" spans="1:4" ht="15.75" customHeight="1" x14ac:dyDescent="0.25">
      <c r="A417" s="2">
        <v>45726</v>
      </c>
      <c r="B417" s="3" t="s">
        <v>128</v>
      </c>
      <c r="C417" s="3" t="s">
        <v>82</v>
      </c>
      <c r="D417" s="3">
        <v>55</v>
      </c>
    </row>
    <row r="418" spans="1:4" ht="15.75" customHeight="1" x14ac:dyDescent="0.25">
      <c r="A418" s="2">
        <v>45700</v>
      </c>
      <c r="B418" s="3" t="s">
        <v>95</v>
      </c>
      <c r="C418" s="3" t="s">
        <v>39</v>
      </c>
      <c r="D418" s="3">
        <v>14</v>
      </c>
    </row>
    <row r="419" spans="1:4" ht="15.75" customHeight="1" x14ac:dyDescent="0.25">
      <c r="A419" s="2">
        <v>45695</v>
      </c>
      <c r="B419" s="3" t="s">
        <v>63</v>
      </c>
      <c r="C419" s="3" t="s">
        <v>26</v>
      </c>
      <c r="D419" s="3">
        <v>8</v>
      </c>
    </row>
    <row r="420" spans="1:4" ht="15.75" customHeight="1" x14ac:dyDescent="0.25">
      <c r="A420" s="2">
        <v>45697</v>
      </c>
      <c r="B420" s="3" t="s">
        <v>36</v>
      </c>
      <c r="C420" s="3" t="s">
        <v>22</v>
      </c>
      <c r="D420" s="3">
        <v>4</v>
      </c>
    </row>
    <row r="421" spans="1:4" ht="15.75" customHeight="1" x14ac:dyDescent="0.25">
      <c r="A421" s="2">
        <v>45728</v>
      </c>
      <c r="B421" s="3" t="s">
        <v>92</v>
      </c>
      <c r="C421" s="3" t="s">
        <v>82</v>
      </c>
      <c r="D421" s="3">
        <v>45</v>
      </c>
    </row>
    <row r="422" spans="1:4" ht="15.75" customHeight="1" x14ac:dyDescent="0.25">
      <c r="A422" s="2">
        <v>45722</v>
      </c>
      <c r="B422" s="3" t="s">
        <v>7</v>
      </c>
      <c r="C422" s="3" t="s">
        <v>8</v>
      </c>
      <c r="D422" s="3">
        <v>34</v>
      </c>
    </row>
    <row r="423" spans="1:4" ht="15.75" customHeight="1" x14ac:dyDescent="0.25">
      <c r="A423" s="2">
        <v>45726</v>
      </c>
      <c r="B423" s="3" t="s">
        <v>60</v>
      </c>
      <c r="C423" s="3" t="s">
        <v>24</v>
      </c>
      <c r="D423" s="3">
        <v>17</v>
      </c>
    </row>
    <row r="424" spans="1:4" ht="15.75" customHeight="1" x14ac:dyDescent="0.25">
      <c r="A424" s="2">
        <v>45722</v>
      </c>
      <c r="B424" s="3" t="s">
        <v>64</v>
      </c>
      <c r="C424" s="3" t="s">
        <v>41</v>
      </c>
      <c r="D424" s="3">
        <v>19</v>
      </c>
    </row>
    <row r="425" spans="1:4" ht="15.75" customHeight="1" x14ac:dyDescent="0.25">
      <c r="A425" s="2">
        <v>45692</v>
      </c>
      <c r="B425" s="3" t="s">
        <v>123</v>
      </c>
      <c r="C425" s="3" t="s">
        <v>79</v>
      </c>
      <c r="D425" s="3">
        <v>26</v>
      </c>
    </row>
    <row r="426" spans="1:4" ht="15.75" customHeight="1" x14ac:dyDescent="0.25">
      <c r="A426" s="2">
        <v>45738</v>
      </c>
      <c r="B426" s="3" t="s">
        <v>60</v>
      </c>
      <c r="C426" s="3" t="s">
        <v>24</v>
      </c>
      <c r="D426" s="3">
        <v>66</v>
      </c>
    </row>
    <row r="427" spans="1:4" ht="15.75" customHeight="1" x14ac:dyDescent="0.25">
      <c r="A427" s="2">
        <v>45662</v>
      </c>
      <c r="B427" s="3" t="s">
        <v>103</v>
      </c>
      <c r="C427" s="3" t="s">
        <v>26</v>
      </c>
      <c r="D427" s="3">
        <v>40</v>
      </c>
    </row>
    <row r="428" spans="1:4" ht="15.75" customHeight="1" x14ac:dyDescent="0.25">
      <c r="A428" s="2">
        <v>45692</v>
      </c>
      <c r="B428" s="3" t="s">
        <v>78</v>
      </c>
      <c r="C428" s="3" t="s">
        <v>79</v>
      </c>
      <c r="D428" s="3">
        <v>21</v>
      </c>
    </row>
    <row r="429" spans="1:4" ht="15.75" customHeight="1" x14ac:dyDescent="0.25">
      <c r="A429" s="2">
        <v>45687</v>
      </c>
      <c r="B429" s="3" t="s">
        <v>65</v>
      </c>
      <c r="C429" s="3" t="s">
        <v>5</v>
      </c>
      <c r="D429" s="3">
        <v>30</v>
      </c>
    </row>
    <row r="430" spans="1:4" ht="15.75" customHeight="1" x14ac:dyDescent="0.25">
      <c r="A430" s="2">
        <v>45711</v>
      </c>
      <c r="B430" s="3" t="s">
        <v>74</v>
      </c>
      <c r="C430" s="3" t="s">
        <v>75</v>
      </c>
      <c r="D430" s="3">
        <v>29</v>
      </c>
    </row>
    <row r="431" spans="1:4" ht="15.75" customHeight="1" x14ac:dyDescent="0.25">
      <c r="A431" s="2">
        <v>45694</v>
      </c>
      <c r="B431" s="3" t="s">
        <v>95</v>
      </c>
      <c r="C431" s="3" t="s">
        <v>39</v>
      </c>
      <c r="D431" s="3">
        <v>20</v>
      </c>
    </row>
    <row r="432" spans="1:4" ht="15.75" customHeight="1" x14ac:dyDescent="0.25">
      <c r="A432" s="2">
        <v>45741</v>
      </c>
      <c r="B432" s="3" t="s">
        <v>135</v>
      </c>
      <c r="C432" s="3" t="s">
        <v>62</v>
      </c>
      <c r="D432" s="3">
        <v>27</v>
      </c>
    </row>
    <row r="433" spans="1:4" ht="15.75" customHeight="1" x14ac:dyDescent="0.25">
      <c r="A433" s="2">
        <v>45693</v>
      </c>
      <c r="B433" s="3" t="s">
        <v>135</v>
      </c>
      <c r="C433" s="3" t="s">
        <v>62</v>
      </c>
      <c r="D433" s="3">
        <v>8</v>
      </c>
    </row>
    <row r="434" spans="1:4" ht="15.75" customHeight="1" x14ac:dyDescent="0.25">
      <c r="A434" s="2">
        <v>45737</v>
      </c>
      <c r="B434" s="3" t="s">
        <v>54</v>
      </c>
      <c r="C434" s="3" t="s">
        <v>22</v>
      </c>
      <c r="D434" s="3">
        <v>42</v>
      </c>
    </row>
    <row r="435" spans="1:4" ht="15.75" customHeight="1" x14ac:dyDescent="0.25">
      <c r="A435" s="2">
        <v>45723</v>
      </c>
      <c r="B435" s="3" t="s">
        <v>119</v>
      </c>
      <c r="C435" s="3" t="s">
        <v>16</v>
      </c>
      <c r="D435" s="3">
        <v>28</v>
      </c>
    </row>
    <row r="436" spans="1:4" ht="15.75" customHeight="1" x14ac:dyDescent="0.25">
      <c r="A436" s="2">
        <v>45739</v>
      </c>
      <c r="B436" s="3" t="s">
        <v>53</v>
      </c>
      <c r="C436" s="3" t="s">
        <v>50</v>
      </c>
      <c r="D436" s="3">
        <v>18</v>
      </c>
    </row>
    <row r="437" spans="1:4" ht="15.75" customHeight="1" x14ac:dyDescent="0.25">
      <c r="A437" s="2">
        <v>45678</v>
      </c>
      <c r="B437" s="3" t="s">
        <v>23</v>
      </c>
      <c r="C437" s="3" t="s">
        <v>24</v>
      </c>
      <c r="D437" s="3">
        <v>20</v>
      </c>
    </row>
    <row r="438" spans="1:4" ht="15.75" customHeight="1" x14ac:dyDescent="0.25">
      <c r="A438" s="2">
        <v>45695</v>
      </c>
      <c r="B438" s="3" t="s">
        <v>63</v>
      </c>
      <c r="C438" s="3" t="s">
        <v>26</v>
      </c>
      <c r="D438" s="3">
        <v>54</v>
      </c>
    </row>
    <row r="439" spans="1:4" ht="15.75" customHeight="1" x14ac:dyDescent="0.25">
      <c r="A439" s="2">
        <v>45688</v>
      </c>
      <c r="B439" s="3" t="s">
        <v>49</v>
      </c>
      <c r="C439" s="3" t="s">
        <v>50</v>
      </c>
      <c r="D439" s="3">
        <v>65</v>
      </c>
    </row>
    <row r="440" spans="1:4" ht="15.75" customHeight="1" x14ac:dyDescent="0.25">
      <c r="A440" s="2">
        <v>45692</v>
      </c>
      <c r="B440" s="3" t="s">
        <v>19</v>
      </c>
      <c r="C440" s="3" t="s">
        <v>20</v>
      </c>
      <c r="D440" s="3">
        <v>16</v>
      </c>
    </row>
    <row r="441" spans="1:4" ht="15.75" customHeight="1" x14ac:dyDescent="0.25">
      <c r="A441" s="2">
        <v>45723</v>
      </c>
      <c r="B441" s="3" t="s">
        <v>137</v>
      </c>
      <c r="C441" s="3" t="s">
        <v>20</v>
      </c>
      <c r="D441" s="3">
        <v>56</v>
      </c>
    </row>
    <row r="442" spans="1:4" ht="15.75" customHeight="1" x14ac:dyDescent="0.25">
      <c r="A442" s="2">
        <v>45709</v>
      </c>
      <c r="B442" s="3" t="s">
        <v>93</v>
      </c>
      <c r="C442" s="3" t="s">
        <v>82</v>
      </c>
      <c r="D442" s="3">
        <v>13</v>
      </c>
    </row>
    <row r="443" spans="1:4" ht="15.75" customHeight="1" x14ac:dyDescent="0.25">
      <c r="A443" s="2">
        <v>45733</v>
      </c>
      <c r="B443" s="3" t="s">
        <v>105</v>
      </c>
      <c r="C443" s="3" t="s">
        <v>79</v>
      </c>
      <c r="D443" s="3">
        <v>55</v>
      </c>
    </row>
    <row r="444" spans="1:4" ht="15.75" customHeight="1" x14ac:dyDescent="0.25">
      <c r="A444" s="2">
        <v>45690</v>
      </c>
      <c r="B444" s="3" t="s">
        <v>103</v>
      </c>
      <c r="C444" s="3" t="s">
        <v>26</v>
      </c>
      <c r="D444" s="3">
        <v>1</v>
      </c>
    </row>
    <row r="445" spans="1:4" ht="15.75" customHeight="1" x14ac:dyDescent="0.25">
      <c r="A445" s="2">
        <v>45670</v>
      </c>
      <c r="B445" s="3" t="s">
        <v>76</v>
      </c>
      <c r="C445" s="3" t="s">
        <v>22</v>
      </c>
      <c r="D445" s="3">
        <v>39</v>
      </c>
    </row>
    <row r="446" spans="1:4" ht="15.75" customHeight="1" x14ac:dyDescent="0.25">
      <c r="A446" s="2">
        <v>45746</v>
      </c>
      <c r="B446" s="3" t="s">
        <v>14</v>
      </c>
      <c r="C446" s="3" t="s">
        <v>8</v>
      </c>
      <c r="D446" s="3">
        <v>33</v>
      </c>
    </row>
    <row r="447" spans="1:4" ht="15.75" customHeight="1" x14ac:dyDescent="0.25">
      <c r="A447" s="2">
        <v>45660</v>
      </c>
      <c r="B447" s="3" t="s">
        <v>18</v>
      </c>
      <c r="C447" s="3" t="s">
        <v>13</v>
      </c>
      <c r="D447" s="3">
        <v>76</v>
      </c>
    </row>
    <row r="448" spans="1:4" ht="15.75" customHeight="1" x14ac:dyDescent="0.25">
      <c r="A448" s="2">
        <v>45725</v>
      </c>
      <c r="B448" s="3" t="s">
        <v>33</v>
      </c>
      <c r="C448" s="3" t="s">
        <v>28</v>
      </c>
      <c r="D448" s="3">
        <v>7</v>
      </c>
    </row>
    <row r="449" spans="1:4" ht="15.75" customHeight="1" x14ac:dyDescent="0.25">
      <c r="A449" s="2">
        <v>45715</v>
      </c>
      <c r="B449" s="3" t="s">
        <v>143</v>
      </c>
      <c r="C449" s="3" t="s">
        <v>16</v>
      </c>
      <c r="D449" s="3">
        <v>19</v>
      </c>
    </row>
    <row r="450" spans="1:4" ht="15.75" customHeight="1" x14ac:dyDescent="0.25">
      <c r="A450" s="2">
        <v>45690</v>
      </c>
      <c r="B450" s="3" t="s">
        <v>136</v>
      </c>
      <c r="C450" s="3" t="s">
        <v>79</v>
      </c>
      <c r="D450" s="3">
        <v>36</v>
      </c>
    </row>
    <row r="451" spans="1:4" ht="15.75" customHeight="1" x14ac:dyDescent="0.25">
      <c r="A451" s="2">
        <v>45678</v>
      </c>
      <c r="B451" s="3" t="s">
        <v>48</v>
      </c>
      <c r="C451" s="3" t="s">
        <v>22</v>
      </c>
      <c r="D451" s="3">
        <v>51</v>
      </c>
    </row>
    <row r="452" spans="1:4" ht="15.75" customHeight="1" x14ac:dyDescent="0.25">
      <c r="A452" s="2">
        <v>45728</v>
      </c>
      <c r="B452" s="3" t="s">
        <v>142</v>
      </c>
      <c r="C452" s="3" t="s">
        <v>5</v>
      </c>
      <c r="D452" s="3">
        <v>22</v>
      </c>
    </row>
    <row r="453" spans="1:4" ht="15.75" customHeight="1" x14ac:dyDescent="0.25">
      <c r="A453" s="2">
        <v>45746</v>
      </c>
      <c r="B453" s="3" t="s">
        <v>91</v>
      </c>
      <c r="C453" s="3" t="s">
        <v>26</v>
      </c>
      <c r="D453" s="3">
        <v>1</v>
      </c>
    </row>
    <row r="454" spans="1:4" ht="15.75" customHeight="1" x14ac:dyDescent="0.25">
      <c r="A454" s="2">
        <v>45695</v>
      </c>
      <c r="B454" s="3" t="s">
        <v>112</v>
      </c>
      <c r="C454" s="3" t="s">
        <v>31</v>
      </c>
      <c r="D454" s="3">
        <v>23</v>
      </c>
    </row>
    <row r="455" spans="1:4" ht="15.75" customHeight="1" x14ac:dyDescent="0.25">
      <c r="A455" s="2">
        <v>45733</v>
      </c>
      <c r="B455" s="3" t="s">
        <v>17</v>
      </c>
      <c r="C455" s="3" t="s">
        <v>16</v>
      </c>
      <c r="D455" s="3">
        <v>61</v>
      </c>
    </row>
    <row r="456" spans="1:4" ht="15.75" customHeight="1" x14ac:dyDescent="0.25">
      <c r="A456" s="2">
        <v>45684</v>
      </c>
      <c r="B456" s="3" t="s">
        <v>12</v>
      </c>
      <c r="C456" s="3" t="s">
        <v>13</v>
      </c>
      <c r="D456" s="3">
        <v>70</v>
      </c>
    </row>
    <row r="457" spans="1:4" ht="15.75" customHeight="1" x14ac:dyDescent="0.25">
      <c r="A457" s="2">
        <v>45739</v>
      </c>
      <c r="B457" s="3" t="s">
        <v>115</v>
      </c>
      <c r="C457" s="3" t="s">
        <v>50</v>
      </c>
      <c r="D457" s="3">
        <v>23</v>
      </c>
    </row>
    <row r="458" spans="1:4" ht="15.75" customHeight="1" x14ac:dyDescent="0.25">
      <c r="A458" s="2">
        <v>45736</v>
      </c>
      <c r="B458" s="3" t="s">
        <v>19</v>
      </c>
      <c r="C458" s="3" t="s">
        <v>20</v>
      </c>
      <c r="D458" s="3">
        <v>74</v>
      </c>
    </row>
    <row r="459" spans="1:4" ht="15.75" customHeight="1" x14ac:dyDescent="0.25">
      <c r="A459" s="2">
        <v>45746</v>
      </c>
      <c r="B459" s="3" t="s">
        <v>21</v>
      </c>
      <c r="C459" s="3" t="s">
        <v>22</v>
      </c>
      <c r="D459" s="3">
        <v>66</v>
      </c>
    </row>
    <row r="460" spans="1:4" ht="15.75" customHeight="1" x14ac:dyDescent="0.25">
      <c r="A460" s="2">
        <v>45741</v>
      </c>
      <c r="B460" s="3" t="s">
        <v>114</v>
      </c>
      <c r="C460" s="3" t="s">
        <v>75</v>
      </c>
      <c r="D460" s="3">
        <v>37</v>
      </c>
    </row>
    <row r="461" spans="1:4" ht="15.75" customHeight="1" x14ac:dyDescent="0.25">
      <c r="A461" s="2">
        <v>45705</v>
      </c>
      <c r="B461" s="3" t="s">
        <v>30</v>
      </c>
      <c r="C461" s="3" t="s">
        <v>31</v>
      </c>
      <c r="D461" s="3">
        <v>24</v>
      </c>
    </row>
    <row r="462" spans="1:4" ht="15.75" customHeight="1" x14ac:dyDescent="0.25">
      <c r="A462" s="2">
        <v>45669</v>
      </c>
      <c r="B462" s="3" t="s">
        <v>36</v>
      </c>
      <c r="C462" s="3" t="s">
        <v>22</v>
      </c>
      <c r="D462" s="3">
        <v>60</v>
      </c>
    </row>
    <row r="463" spans="1:4" ht="15.75" customHeight="1" x14ac:dyDescent="0.25">
      <c r="A463" s="2">
        <v>45712</v>
      </c>
      <c r="B463" s="3" t="s">
        <v>49</v>
      </c>
      <c r="C463" s="3" t="s">
        <v>50</v>
      </c>
      <c r="D463" s="3">
        <v>62</v>
      </c>
    </row>
    <row r="464" spans="1:4" ht="15.75" customHeight="1" x14ac:dyDescent="0.25">
      <c r="A464" s="2">
        <v>45657</v>
      </c>
      <c r="B464" s="3" t="s">
        <v>63</v>
      </c>
      <c r="C464" s="3" t="s">
        <v>26</v>
      </c>
      <c r="D464" s="3">
        <v>55</v>
      </c>
    </row>
    <row r="465" spans="1:4" ht="15.75" customHeight="1" x14ac:dyDescent="0.25">
      <c r="A465" s="2">
        <v>45667</v>
      </c>
      <c r="B465" s="3" t="s">
        <v>77</v>
      </c>
      <c r="C465" s="3" t="s">
        <v>50</v>
      </c>
      <c r="D465" s="3">
        <v>78</v>
      </c>
    </row>
    <row r="466" spans="1:4" ht="15.75" customHeight="1" x14ac:dyDescent="0.25">
      <c r="A466" s="2">
        <v>45669</v>
      </c>
      <c r="B466" s="3" t="s">
        <v>127</v>
      </c>
      <c r="C466" s="3" t="s">
        <v>22</v>
      </c>
      <c r="D466" s="3">
        <v>19</v>
      </c>
    </row>
    <row r="467" spans="1:4" ht="15.75" customHeight="1" x14ac:dyDescent="0.25">
      <c r="A467" s="2">
        <v>45731</v>
      </c>
      <c r="B467" s="3" t="s">
        <v>51</v>
      </c>
      <c r="C467" s="3" t="s">
        <v>52</v>
      </c>
      <c r="D467" s="3">
        <v>74</v>
      </c>
    </row>
    <row r="468" spans="1:4" ht="15.75" customHeight="1" x14ac:dyDescent="0.25">
      <c r="A468" s="2">
        <v>45662</v>
      </c>
      <c r="B468" s="3" t="s">
        <v>29</v>
      </c>
      <c r="C468" s="3" t="s">
        <v>16</v>
      </c>
      <c r="D468" s="3">
        <v>30</v>
      </c>
    </row>
    <row r="469" spans="1:4" ht="15.75" customHeight="1" x14ac:dyDescent="0.25">
      <c r="A469" s="2">
        <v>45685</v>
      </c>
      <c r="B469" s="3" t="s">
        <v>134</v>
      </c>
      <c r="C469" s="3" t="s">
        <v>85</v>
      </c>
      <c r="D469" s="3">
        <v>62</v>
      </c>
    </row>
    <row r="470" spans="1:4" ht="15.75" customHeight="1" x14ac:dyDescent="0.25">
      <c r="A470" s="2">
        <v>45704</v>
      </c>
      <c r="B470" s="3" t="s">
        <v>90</v>
      </c>
      <c r="C470" s="3" t="s">
        <v>39</v>
      </c>
      <c r="D470" s="3">
        <v>40</v>
      </c>
    </row>
    <row r="471" spans="1:4" ht="15.75" customHeight="1" x14ac:dyDescent="0.25">
      <c r="A471" s="2">
        <v>45700</v>
      </c>
      <c r="B471" s="3" t="s">
        <v>81</v>
      </c>
      <c r="C471" s="3" t="s">
        <v>82</v>
      </c>
      <c r="D471" s="3">
        <v>3</v>
      </c>
    </row>
    <row r="472" spans="1:4" ht="15.75" customHeight="1" x14ac:dyDescent="0.25">
      <c r="A472" s="2">
        <v>45680</v>
      </c>
      <c r="B472" s="3" t="s">
        <v>92</v>
      </c>
      <c r="C472" s="3" t="s">
        <v>82</v>
      </c>
      <c r="D472" s="3">
        <v>58</v>
      </c>
    </row>
    <row r="473" spans="1:4" ht="15.75" customHeight="1" x14ac:dyDescent="0.25">
      <c r="A473" s="2">
        <v>45723</v>
      </c>
      <c r="B473" s="3" t="s">
        <v>29</v>
      </c>
      <c r="C473" s="3" t="s">
        <v>16</v>
      </c>
      <c r="D473" s="3">
        <v>64</v>
      </c>
    </row>
    <row r="474" spans="1:4" ht="15.75" customHeight="1" x14ac:dyDescent="0.25">
      <c r="A474" s="2">
        <v>45710</v>
      </c>
      <c r="B474" s="3" t="s">
        <v>69</v>
      </c>
      <c r="C474" s="3" t="s">
        <v>24</v>
      </c>
      <c r="D474" s="3">
        <v>55</v>
      </c>
    </row>
    <row r="475" spans="1:4" ht="15.75" customHeight="1" x14ac:dyDescent="0.25">
      <c r="A475" s="2">
        <v>45723</v>
      </c>
      <c r="B475" s="3" t="s">
        <v>137</v>
      </c>
      <c r="C475" s="3" t="s">
        <v>20</v>
      </c>
      <c r="D475" s="3">
        <v>29</v>
      </c>
    </row>
    <row r="476" spans="1:4" ht="15.75" customHeight="1" x14ac:dyDescent="0.25">
      <c r="A476" s="2">
        <v>45728</v>
      </c>
      <c r="B476" s="3" t="s">
        <v>141</v>
      </c>
      <c r="C476" s="3" t="s">
        <v>24</v>
      </c>
      <c r="D476" s="3">
        <v>49</v>
      </c>
    </row>
    <row r="477" spans="1:4" ht="15.75" customHeight="1" x14ac:dyDescent="0.25">
      <c r="A477" s="2">
        <v>45718</v>
      </c>
      <c r="B477" s="3" t="s">
        <v>45</v>
      </c>
      <c r="C477" s="3" t="s">
        <v>24</v>
      </c>
      <c r="D477" s="3">
        <v>9</v>
      </c>
    </row>
    <row r="478" spans="1:4" ht="15.75" customHeight="1" x14ac:dyDescent="0.25">
      <c r="A478" s="2">
        <v>45664</v>
      </c>
      <c r="B478" s="3" t="s">
        <v>56</v>
      </c>
      <c r="C478" s="3" t="s">
        <v>5</v>
      </c>
      <c r="D478" s="3">
        <v>63</v>
      </c>
    </row>
    <row r="479" spans="1:4" ht="15.75" customHeight="1" x14ac:dyDescent="0.25">
      <c r="A479" s="2">
        <v>45666</v>
      </c>
      <c r="B479" s="3" t="s">
        <v>101</v>
      </c>
      <c r="C479" s="3" t="s">
        <v>24</v>
      </c>
      <c r="D479" s="3">
        <v>32</v>
      </c>
    </row>
    <row r="480" spans="1:4" ht="15.75" customHeight="1" x14ac:dyDescent="0.25">
      <c r="A480" s="2">
        <v>45660</v>
      </c>
      <c r="B480" s="3" t="s">
        <v>142</v>
      </c>
      <c r="C480" s="3" t="s">
        <v>5</v>
      </c>
      <c r="D480" s="3">
        <v>1</v>
      </c>
    </row>
    <row r="481" spans="1:4" ht="15.75" customHeight="1" x14ac:dyDescent="0.25">
      <c r="A481" s="2">
        <v>45685</v>
      </c>
      <c r="B481" s="3" t="s">
        <v>125</v>
      </c>
      <c r="C481" s="3" t="s">
        <v>20</v>
      </c>
      <c r="D481" s="3">
        <v>52</v>
      </c>
    </row>
    <row r="482" spans="1:4" ht="15.75" customHeight="1" x14ac:dyDescent="0.25">
      <c r="A482" s="2">
        <v>45745</v>
      </c>
      <c r="B482" s="3" t="s">
        <v>42</v>
      </c>
      <c r="C482" s="3" t="s">
        <v>24</v>
      </c>
      <c r="D482" s="3">
        <v>29</v>
      </c>
    </row>
    <row r="483" spans="1:4" ht="15.75" customHeight="1" x14ac:dyDescent="0.25">
      <c r="A483" s="2">
        <v>45694</v>
      </c>
      <c r="B483" s="3" t="s">
        <v>37</v>
      </c>
      <c r="C483" s="3" t="s">
        <v>8</v>
      </c>
      <c r="D483" s="3">
        <v>2</v>
      </c>
    </row>
    <row r="484" spans="1:4" ht="15.75" customHeight="1" x14ac:dyDescent="0.25">
      <c r="A484" s="2">
        <v>45708</v>
      </c>
      <c r="B484" s="3" t="s">
        <v>65</v>
      </c>
      <c r="C484" s="3" t="s">
        <v>5</v>
      </c>
      <c r="D484" s="3">
        <v>24</v>
      </c>
    </row>
    <row r="485" spans="1:4" ht="15.75" customHeight="1" x14ac:dyDescent="0.25">
      <c r="A485" s="2">
        <v>45733</v>
      </c>
      <c r="B485" s="3" t="s">
        <v>125</v>
      </c>
      <c r="C485" s="3" t="s">
        <v>20</v>
      </c>
      <c r="D485" s="3">
        <v>36</v>
      </c>
    </row>
    <row r="486" spans="1:4" ht="15.75" customHeight="1" x14ac:dyDescent="0.25">
      <c r="A486" s="2">
        <v>45672</v>
      </c>
      <c r="B486" s="3" t="s">
        <v>81</v>
      </c>
      <c r="C486" s="3" t="s">
        <v>82</v>
      </c>
      <c r="D486" s="3">
        <v>55</v>
      </c>
    </row>
    <row r="487" spans="1:4" ht="15.75" customHeight="1" x14ac:dyDescent="0.25">
      <c r="A487" s="2">
        <v>45746</v>
      </c>
      <c r="B487" s="3" t="s">
        <v>46</v>
      </c>
      <c r="C487" s="3" t="s">
        <v>20</v>
      </c>
      <c r="D487" s="3">
        <v>49</v>
      </c>
    </row>
    <row r="488" spans="1:4" ht="15.75" customHeight="1" x14ac:dyDescent="0.25">
      <c r="A488" s="2">
        <v>45730</v>
      </c>
      <c r="B488" s="3" t="s">
        <v>18</v>
      </c>
      <c r="C488" s="3" t="s">
        <v>13</v>
      </c>
      <c r="D488" s="3">
        <v>29</v>
      </c>
    </row>
    <row r="489" spans="1:4" ht="15.75" customHeight="1" x14ac:dyDescent="0.25">
      <c r="A489" s="2">
        <v>45663</v>
      </c>
      <c r="B489" s="3" t="s">
        <v>113</v>
      </c>
      <c r="C489" s="3" t="s">
        <v>85</v>
      </c>
      <c r="D489" s="3">
        <v>49</v>
      </c>
    </row>
    <row r="490" spans="1:4" ht="15.75" customHeight="1" x14ac:dyDescent="0.25">
      <c r="A490" s="2">
        <v>45739</v>
      </c>
      <c r="B490" s="3" t="s">
        <v>133</v>
      </c>
      <c r="C490" s="3" t="s">
        <v>24</v>
      </c>
      <c r="D490" s="3">
        <v>59</v>
      </c>
    </row>
    <row r="491" spans="1:4" ht="15.75" customHeight="1" x14ac:dyDescent="0.25">
      <c r="A491" s="2">
        <v>45740</v>
      </c>
      <c r="B491" s="3" t="s">
        <v>127</v>
      </c>
      <c r="C491" s="3" t="s">
        <v>22</v>
      </c>
      <c r="D491" s="3">
        <v>28</v>
      </c>
    </row>
    <row r="492" spans="1:4" ht="15.75" customHeight="1" x14ac:dyDescent="0.25">
      <c r="A492" s="2">
        <v>45702</v>
      </c>
      <c r="B492" s="3" t="s">
        <v>124</v>
      </c>
      <c r="C492" s="3" t="s">
        <v>26</v>
      </c>
      <c r="D492" s="3">
        <v>53</v>
      </c>
    </row>
    <row r="493" spans="1:4" ht="15.75" customHeight="1" x14ac:dyDescent="0.25">
      <c r="A493" s="2">
        <v>45664</v>
      </c>
      <c r="B493" s="3" t="s">
        <v>78</v>
      </c>
      <c r="C493" s="3" t="s">
        <v>79</v>
      </c>
      <c r="D493" s="3">
        <v>46</v>
      </c>
    </row>
    <row r="494" spans="1:4" ht="15.75" customHeight="1" x14ac:dyDescent="0.25">
      <c r="A494" s="2">
        <v>45726</v>
      </c>
      <c r="B494" s="3" t="s">
        <v>6</v>
      </c>
      <c r="C494" s="3" t="s">
        <v>5</v>
      </c>
      <c r="D494" s="3">
        <v>69</v>
      </c>
    </row>
    <row r="495" spans="1:4" ht="15.75" customHeight="1" x14ac:dyDescent="0.25">
      <c r="A495" s="2">
        <v>45722</v>
      </c>
      <c r="B495" s="3" t="s">
        <v>94</v>
      </c>
      <c r="C495" s="3" t="s">
        <v>52</v>
      </c>
      <c r="D495" s="3">
        <v>75</v>
      </c>
    </row>
    <row r="496" spans="1:4" ht="15.75" customHeight="1" x14ac:dyDescent="0.25">
      <c r="A496" s="2">
        <v>45681</v>
      </c>
      <c r="B496" s="3" t="s">
        <v>120</v>
      </c>
      <c r="C496" s="3" t="s">
        <v>26</v>
      </c>
      <c r="D496" s="3">
        <v>66</v>
      </c>
    </row>
    <row r="497" spans="1:4" ht="15.75" customHeight="1" x14ac:dyDescent="0.25">
      <c r="A497" s="2">
        <v>45677</v>
      </c>
      <c r="B497" s="3" t="s">
        <v>99</v>
      </c>
      <c r="C497" s="3" t="s">
        <v>16</v>
      </c>
      <c r="D497" s="3">
        <v>49</v>
      </c>
    </row>
    <row r="498" spans="1:4" ht="15.75" customHeight="1" x14ac:dyDescent="0.25">
      <c r="A498" s="2">
        <v>45667</v>
      </c>
      <c r="B498" s="3" t="s">
        <v>80</v>
      </c>
      <c r="C498" s="3" t="s">
        <v>22</v>
      </c>
      <c r="D498" s="3">
        <v>50</v>
      </c>
    </row>
    <row r="499" spans="1:4" ht="15.75" customHeight="1" x14ac:dyDescent="0.25">
      <c r="A499" s="2">
        <v>45736</v>
      </c>
      <c r="B499" s="3" t="s">
        <v>59</v>
      </c>
      <c r="C499" s="3" t="s">
        <v>16</v>
      </c>
      <c r="D499" s="3">
        <v>46</v>
      </c>
    </row>
    <row r="500" spans="1:4" ht="15.75" customHeight="1" x14ac:dyDescent="0.25">
      <c r="A500" s="2">
        <v>45663</v>
      </c>
      <c r="B500" s="3" t="s">
        <v>139</v>
      </c>
      <c r="C500" s="3" t="s">
        <v>109</v>
      </c>
      <c r="D500" s="3">
        <v>5</v>
      </c>
    </row>
    <row r="501" spans="1:4" ht="15.75" customHeight="1" x14ac:dyDescent="0.25">
      <c r="A501" s="2">
        <v>45660</v>
      </c>
      <c r="B501" s="3" t="s">
        <v>93</v>
      </c>
      <c r="C501" s="3" t="s">
        <v>82</v>
      </c>
      <c r="D501" s="3">
        <v>34</v>
      </c>
    </row>
    <row r="502" spans="1:4" ht="15.75" customHeight="1" x14ac:dyDescent="0.25">
      <c r="A502" s="4"/>
    </row>
    <row r="503" spans="1:4" ht="15.75" customHeight="1" x14ac:dyDescent="0.25">
      <c r="A503" s="4"/>
    </row>
    <row r="504" spans="1:4" ht="15.75" customHeight="1" x14ac:dyDescent="0.25">
      <c r="A504" s="4"/>
    </row>
    <row r="505" spans="1:4" ht="15.75" customHeight="1" x14ac:dyDescent="0.25">
      <c r="A505" s="4"/>
    </row>
    <row r="506" spans="1:4" ht="15.75" customHeight="1" x14ac:dyDescent="0.25">
      <c r="A506" s="4"/>
    </row>
    <row r="507" spans="1:4" ht="15.75" customHeight="1" x14ac:dyDescent="0.25">
      <c r="A507" s="4"/>
    </row>
    <row r="508" spans="1:4" ht="15.75" customHeight="1" x14ac:dyDescent="0.25">
      <c r="A508" s="4"/>
    </row>
    <row r="509" spans="1:4" ht="15.75" customHeight="1" x14ac:dyDescent="0.25">
      <c r="A509" s="4"/>
    </row>
    <row r="510" spans="1:4" ht="15.75" customHeight="1" x14ac:dyDescent="0.25">
      <c r="A510" s="4"/>
    </row>
    <row r="511" spans="1:4" ht="15.75" customHeight="1" x14ac:dyDescent="0.25">
      <c r="A511" s="4"/>
    </row>
    <row r="512" spans="1:4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pane xSplit="1" ySplit="1" topLeftCell="B104" activePane="bottomRight" state="frozen"/>
      <selection pane="topRight" activeCell="B1" sqref="B1"/>
      <selection pane="bottomLeft" activeCell="A2" sqref="A2"/>
      <selection pane="bottomRight" activeCell="B104" sqref="B104"/>
    </sheetView>
  </sheetViews>
  <sheetFormatPr defaultColWidth="14.42578125" defaultRowHeight="15" customHeight="1" x14ac:dyDescent="0.25"/>
  <cols>
    <col min="1" max="1" width="9.140625" bestFit="1" customWidth="1"/>
    <col min="2" max="2" width="21.42578125" bestFit="1" customWidth="1"/>
    <col min="3" max="3" width="52.140625" bestFit="1" customWidth="1"/>
    <col min="4" max="4" width="15.85546875" bestFit="1" customWidth="1"/>
    <col min="5" max="5" width="10.5703125" bestFit="1" customWidth="1"/>
    <col min="6" max="22" width="8.7109375" customWidth="1"/>
  </cols>
  <sheetData>
    <row r="1" spans="1:5" x14ac:dyDescent="0.25">
      <c r="A1" s="1" t="s">
        <v>1</v>
      </c>
      <c r="B1" s="1" t="s">
        <v>2</v>
      </c>
      <c r="C1" s="1" t="s">
        <v>144</v>
      </c>
      <c r="D1" s="1" t="s">
        <v>145</v>
      </c>
      <c r="E1" s="1" t="s">
        <v>146</v>
      </c>
    </row>
    <row r="2" spans="1:5" x14ac:dyDescent="0.25">
      <c r="A2" s="3" t="s">
        <v>78</v>
      </c>
      <c r="B2" s="3" t="s">
        <v>79</v>
      </c>
      <c r="C2" s="3" t="s">
        <v>147</v>
      </c>
      <c r="D2" s="3" t="s">
        <v>148</v>
      </c>
      <c r="E2" s="3">
        <v>976.36</v>
      </c>
    </row>
    <row r="3" spans="1:5" x14ac:dyDescent="0.25">
      <c r="A3" s="3" t="s">
        <v>60</v>
      </c>
      <c r="B3" s="3" t="s">
        <v>24</v>
      </c>
      <c r="C3" s="3" t="s">
        <v>149</v>
      </c>
      <c r="D3" s="3" t="s">
        <v>150</v>
      </c>
      <c r="E3" s="3">
        <v>652.16999999999996</v>
      </c>
    </row>
    <row r="4" spans="1:5" x14ac:dyDescent="0.25">
      <c r="A4" s="3" t="s">
        <v>70</v>
      </c>
      <c r="B4" s="3" t="s">
        <v>52</v>
      </c>
      <c r="C4" s="3" t="s">
        <v>151</v>
      </c>
      <c r="D4" s="3" t="s">
        <v>152</v>
      </c>
      <c r="E4" s="3">
        <v>523.33000000000004</v>
      </c>
    </row>
    <row r="5" spans="1:5" x14ac:dyDescent="0.25">
      <c r="A5" s="3" t="s">
        <v>10</v>
      </c>
      <c r="B5" s="3" t="s">
        <v>8</v>
      </c>
      <c r="C5" s="3" t="s">
        <v>153</v>
      </c>
      <c r="D5" s="3" t="s">
        <v>150</v>
      </c>
      <c r="E5" s="3">
        <v>101.03</v>
      </c>
    </row>
    <row r="6" spans="1:5" x14ac:dyDescent="0.25">
      <c r="A6" s="3" t="s">
        <v>89</v>
      </c>
      <c r="B6" s="3" t="s">
        <v>79</v>
      </c>
      <c r="C6" s="3" t="s">
        <v>154</v>
      </c>
      <c r="D6" s="3" t="s">
        <v>155</v>
      </c>
      <c r="E6" s="3">
        <v>389.93</v>
      </c>
    </row>
    <row r="7" spans="1:5" x14ac:dyDescent="0.25">
      <c r="A7" s="3" t="s">
        <v>7</v>
      </c>
      <c r="B7" s="3" t="s">
        <v>8</v>
      </c>
      <c r="C7" s="3" t="s">
        <v>156</v>
      </c>
      <c r="D7" s="3" t="s">
        <v>148</v>
      </c>
      <c r="E7" s="3">
        <v>238.68</v>
      </c>
    </row>
    <row r="8" spans="1:5" x14ac:dyDescent="0.25">
      <c r="A8" s="3" t="s">
        <v>65</v>
      </c>
      <c r="B8" s="3" t="s">
        <v>5</v>
      </c>
      <c r="C8" s="3" t="s">
        <v>157</v>
      </c>
      <c r="D8" s="3" t="s">
        <v>158</v>
      </c>
      <c r="E8" s="3">
        <v>395.54</v>
      </c>
    </row>
    <row r="9" spans="1:5" x14ac:dyDescent="0.25">
      <c r="A9" s="3" t="s">
        <v>67</v>
      </c>
      <c r="B9" s="3" t="s">
        <v>39</v>
      </c>
      <c r="C9" s="3" t="s">
        <v>159</v>
      </c>
      <c r="D9" s="3" t="s">
        <v>155</v>
      </c>
      <c r="E9" s="3">
        <v>97.2</v>
      </c>
    </row>
    <row r="10" spans="1:5" x14ac:dyDescent="0.25">
      <c r="A10" s="3" t="s">
        <v>125</v>
      </c>
      <c r="B10" s="3" t="s">
        <v>20</v>
      </c>
      <c r="C10" s="3" t="s">
        <v>156</v>
      </c>
      <c r="D10" s="3" t="s">
        <v>152</v>
      </c>
      <c r="E10" s="3">
        <v>938.68</v>
      </c>
    </row>
    <row r="11" spans="1:5" x14ac:dyDescent="0.25">
      <c r="A11" s="3" t="s">
        <v>47</v>
      </c>
      <c r="B11" s="3" t="s">
        <v>22</v>
      </c>
      <c r="C11" s="3" t="s">
        <v>149</v>
      </c>
      <c r="D11" s="3" t="s">
        <v>160</v>
      </c>
      <c r="E11" s="3">
        <v>536.84</v>
      </c>
    </row>
    <row r="12" spans="1:5" x14ac:dyDescent="0.25">
      <c r="A12" s="3" t="s">
        <v>63</v>
      </c>
      <c r="B12" s="3" t="s">
        <v>26</v>
      </c>
      <c r="C12" s="3" t="s">
        <v>161</v>
      </c>
      <c r="D12" s="3" t="s">
        <v>160</v>
      </c>
      <c r="E12" s="3">
        <v>482.7</v>
      </c>
    </row>
    <row r="13" spans="1:5" x14ac:dyDescent="0.25">
      <c r="A13" s="3" t="s">
        <v>34</v>
      </c>
      <c r="B13" s="3" t="s">
        <v>28</v>
      </c>
      <c r="C13" s="3" t="s">
        <v>156</v>
      </c>
      <c r="D13" s="3" t="s">
        <v>160</v>
      </c>
      <c r="E13" s="3">
        <v>756.15</v>
      </c>
    </row>
    <row r="14" spans="1:5" x14ac:dyDescent="0.25">
      <c r="A14" s="3" t="s">
        <v>129</v>
      </c>
      <c r="B14" s="3" t="s">
        <v>41</v>
      </c>
      <c r="C14" s="3" t="s">
        <v>162</v>
      </c>
      <c r="D14" s="3" t="s">
        <v>150</v>
      </c>
      <c r="E14" s="3">
        <v>966.44</v>
      </c>
    </row>
    <row r="15" spans="1:5" x14ac:dyDescent="0.25">
      <c r="A15" s="3" t="s">
        <v>110</v>
      </c>
      <c r="B15" s="3" t="s">
        <v>8</v>
      </c>
      <c r="C15" s="3" t="s">
        <v>161</v>
      </c>
      <c r="D15" s="3" t="s">
        <v>148</v>
      </c>
      <c r="E15" s="3">
        <v>223.56</v>
      </c>
    </row>
    <row r="16" spans="1:5" x14ac:dyDescent="0.25">
      <c r="A16" s="3" t="s">
        <v>119</v>
      </c>
      <c r="B16" s="3" t="s">
        <v>16</v>
      </c>
      <c r="C16" s="3" t="s">
        <v>149</v>
      </c>
      <c r="D16" s="3" t="s">
        <v>148</v>
      </c>
      <c r="E16" s="3">
        <v>257.3</v>
      </c>
    </row>
    <row r="17" spans="1:5" x14ac:dyDescent="0.25">
      <c r="A17" s="3" t="s">
        <v>98</v>
      </c>
      <c r="B17" s="3" t="s">
        <v>22</v>
      </c>
      <c r="C17" s="3" t="s">
        <v>163</v>
      </c>
      <c r="D17" s="3" t="s">
        <v>160</v>
      </c>
      <c r="E17" s="3">
        <v>381.51</v>
      </c>
    </row>
    <row r="18" spans="1:5" x14ac:dyDescent="0.25">
      <c r="A18" s="3" t="s">
        <v>40</v>
      </c>
      <c r="B18" s="3" t="s">
        <v>41</v>
      </c>
      <c r="C18" s="3" t="s">
        <v>164</v>
      </c>
      <c r="D18" s="3" t="s">
        <v>155</v>
      </c>
      <c r="E18" s="3">
        <v>837.9</v>
      </c>
    </row>
    <row r="19" spans="1:5" x14ac:dyDescent="0.25">
      <c r="A19" s="3" t="s">
        <v>32</v>
      </c>
      <c r="B19" s="3" t="s">
        <v>22</v>
      </c>
      <c r="C19" s="3" t="s">
        <v>165</v>
      </c>
      <c r="D19" s="3" t="s">
        <v>150</v>
      </c>
      <c r="E19" s="3">
        <v>715.01</v>
      </c>
    </row>
    <row r="20" spans="1:5" x14ac:dyDescent="0.25">
      <c r="A20" s="3" t="s">
        <v>73</v>
      </c>
      <c r="B20" s="3" t="s">
        <v>13</v>
      </c>
      <c r="C20" s="3" t="s">
        <v>156</v>
      </c>
      <c r="D20" s="3" t="s">
        <v>150</v>
      </c>
      <c r="E20" s="3">
        <v>393.32</v>
      </c>
    </row>
    <row r="21" spans="1:5" ht="15.75" customHeight="1" x14ac:dyDescent="0.25">
      <c r="A21" s="3" t="s">
        <v>59</v>
      </c>
      <c r="B21" s="3" t="s">
        <v>16</v>
      </c>
      <c r="C21" s="3" t="s">
        <v>165</v>
      </c>
      <c r="D21" s="3" t="s">
        <v>158</v>
      </c>
      <c r="E21" s="3">
        <v>240.69</v>
      </c>
    </row>
    <row r="22" spans="1:5" ht="15.75" customHeight="1" x14ac:dyDescent="0.25">
      <c r="A22" s="3" t="s">
        <v>38</v>
      </c>
      <c r="B22" s="3" t="s">
        <v>39</v>
      </c>
      <c r="C22" s="3" t="s">
        <v>161</v>
      </c>
      <c r="D22" s="3" t="s">
        <v>166</v>
      </c>
      <c r="E22" s="3">
        <v>477.8</v>
      </c>
    </row>
    <row r="23" spans="1:5" ht="15.75" customHeight="1" x14ac:dyDescent="0.25">
      <c r="A23" s="3" t="s">
        <v>30</v>
      </c>
      <c r="B23" s="3" t="s">
        <v>31</v>
      </c>
      <c r="C23" s="3" t="s">
        <v>157</v>
      </c>
      <c r="D23" s="3" t="s">
        <v>150</v>
      </c>
      <c r="E23" s="3">
        <v>469.5</v>
      </c>
    </row>
    <row r="24" spans="1:5" ht="15.75" customHeight="1" x14ac:dyDescent="0.25">
      <c r="A24" s="3" t="s">
        <v>116</v>
      </c>
      <c r="B24" s="3" t="s">
        <v>82</v>
      </c>
      <c r="C24" s="3" t="s">
        <v>167</v>
      </c>
      <c r="D24" s="3" t="s">
        <v>152</v>
      </c>
      <c r="E24" s="3">
        <v>435.65</v>
      </c>
    </row>
    <row r="25" spans="1:5" ht="15.75" customHeight="1" x14ac:dyDescent="0.25">
      <c r="A25" s="3" t="s">
        <v>36</v>
      </c>
      <c r="B25" s="3" t="s">
        <v>22</v>
      </c>
      <c r="C25" s="3" t="s">
        <v>168</v>
      </c>
      <c r="D25" s="3" t="s">
        <v>150</v>
      </c>
      <c r="E25" s="3">
        <v>491.38</v>
      </c>
    </row>
    <row r="26" spans="1:5" ht="15.75" customHeight="1" x14ac:dyDescent="0.25">
      <c r="A26" s="3" t="s">
        <v>99</v>
      </c>
      <c r="B26" s="3" t="s">
        <v>16</v>
      </c>
      <c r="C26" s="3" t="s">
        <v>169</v>
      </c>
      <c r="D26" s="3" t="s">
        <v>148</v>
      </c>
      <c r="E26" s="3">
        <v>250.84</v>
      </c>
    </row>
    <row r="27" spans="1:5" ht="15.75" customHeight="1" x14ac:dyDescent="0.25">
      <c r="A27" s="3" t="s">
        <v>4</v>
      </c>
      <c r="B27" s="3" t="s">
        <v>5</v>
      </c>
      <c r="C27" s="3" t="s">
        <v>170</v>
      </c>
      <c r="D27" s="3" t="s">
        <v>158</v>
      </c>
      <c r="E27" s="3">
        <v>802.36</v>
      </c>
    </row>
    <row r="28" spans="1:5" ht="15.75" customHeight="1" x14ac:dyDescent="0.25">
      <c r="A28" s="3" t="s">
        <v>135</v>
      </c>
      <c r="B28" s="3" t="s">
        <v>62</v>
      </c>
      <c r="C28" s="3" t="s">
        <v>169</v>
      </c>
      <c r="D28" s="3" t="s">
        <v>166</v>
      </c>
      <c r="E28" s="3">
        <v>167.32</v>
      </c>
    </row>
    <row r="29" spans="1:5" ht="15.75" customHeight="1" x14ac:dyDescent="0.25">
      <c r="A29" s="3" t="s">
        <v>23</v>
      </c>
      <c r="B29" s="3" t="s">
        <v>24</v>
      </c>
      <c r="C29" s="3" t="s">
        <v>153</v>
      </c>
      <c r="D29" s="3" t="s">
        <v>155</v>
      </c>
      <c r="E29" s="3">
        <v>120.79</v>
      </c>
    </row>
    <row r="30" spans="1:5" ht="15.75" customHeight="1" x14ac:dyDescent="0.25">
      <c r="A30" s="3" t="s">
        <v>71</v>
      </c>
      <c r="B30" s="3" t="s">
        <v>20</v>
      </c>
      <c r="C30" s="3" t="s">
        <v>162</v>
      </c>
      <c r="D30" s="3" t="s">
        <v>150</v>
      </c>
      <c r="E30" s="3">
        <v>210.72</v>
      </c>
    </row>
    <row r="31" spans="1:5" ht="15.75" customHeight="1" x14ac:dyDescent="0.25">
      <c r="A31" s="3" t="s">
        <v>107</v>
      </c>
      <c r="B31" s="3" t="s">
        <v>24</v>
      </c>
      <c r="C31" s="3" t="s">
        <v>153</v>
      </c>
      <c r="D31" s="3" t="s">
        <v>158</v>
      </c>
      <c r="E31" s="3">
        <v>270.27</v>
      </c>
    </row>
    <row r="32" spans="1:5" ht="15.75" customHeight="1" x14ac:dyDescent="0.25">
      <c r="A32" s="3" t="s">
        <v>136</v>
      </c>
      <c r="B32" s="3" t="s">
        <v>79</v>
      </c>
      <c r="C32" s="3" t="s">
        <v>171</v>
      </c>
      <c r="D32" s="3" t="s">
        <v>152</v>
      </c>
      <c r="E32" s="3">
        <v>711.1</v>
      </c>
    </row>
    <row r="33" spans="1:5" ht="15.75" customHeight="1" x14ac:dyDescent="0.25">
      <c r="A33" s="3" t="s">
        <v>88</v>
      </c>
      <c r="B33" s="3" t="s">
        <v>75</v>
      </c>
      <c r="C33" s="3" t="s">
        <v>163</v>
      </c>
      <c r="D33" s="3" t="s">
        <v>150</v>
      </c>
      <c r="E33" s="3">
        <v>823.71</v>
      </c>
    </row>
    <row r="34" spans="1:5" ht="15.75" customHeight="1" x14ac:dyDescent="0.25">
      <c r="A34" s="3" t="s">
        <v>14</v>
      </c>
      <c r="B34" s="3" t="s">
        <v>8</v>
      </c>
      <c r="C34" s="3" t="s">
        <v>167</v>
      </c>
      <c r="D34" s="3" t="s">
        <v>152</v>
      </c>
      <c r="E34" s="3">
        <v>107.76</v>
      </c>
    </row>
    <row r="35" spans="1:5" ht="15.75" customHeight="1" x14ac:dyDescent="0.25">
      <c r="A35" s="3" t="s">
        <v>120</v>
      </c>
      <c r="B35" s="3" t="s">
        <v>26</v>
      </c>
      <c r="C35" s="3" t="s">
        <v>159</v>
      </c>
      <c r="D35" s="3" t="s">
        <v>155</v>
      </c>
      <c r="E35" s="3">
        <v>653.64</v>
      </c>
    </row>
    <row r="36" spans="1:5" ht="15.75" customHeight="1" x14ac:dyDescent="0.25">
      <c r="A36" s="3" t="s">
        <v>133</v>
      </c>
      <c r="B36" s="3" t="s">
        <v>24</v>
      </c>
      <c r="C36" s="3" t="s">
        <v>147</v>
      </c>
      <c r="D36" s="3" t="s">
        <v>155</v>
      </c>
      <c r="E36" s="3">
        <v>252.85</v>
      </c>
    </row>
    <row r="37" spans="1:5" ht="15.75" customHeight="1" x14ac:dyDescent="0.25">
      <c r="A37" s="3" t="s">
        <v>29</v>
      </c>
      <c r="B37" s="3" t="s">
        <v>16</v>
      </c>
      <c r="C37" s="3" t="s">
        <v>154</v>
      </c>
      <c r="D37" s="3" t="s">
        <v>152</v>
      </c>
      <c r="E37" s="3">
        <v>775.44</v>
      </c>
    </row>
    <row r="38" spans="1:5" ht="15.75" customHeight="1" x14ac:dyDescent="0.25">
      <c r="A38" s="3" t="s">
        <v>12</v>
      </c>
      <c r="B38" s="3" t="s">
        <v>13</v>
      </c>
      <c r="C38" s="3" t="s">
        <v>157</v>
      </c>
      <c r="D38" s="3" t="s">
        <v>158</v>
      </c>
      <c r="E38" s="3">
        <v>200.74</v>
      </c>
    </row>
    <row r="39" spans="1:5" ht="15.75" customHeight="1" x14ac:dyDescent="0.25">
      <c r="A39" s="3" t="s">
        <v>127</v>
      </c>
      <c r="B39" s="3" t="s">
        <v>22</v>
      </c>
      <c r="C39" s="3" t="s">
        <v>163</v>
      </c>
      <c r="D39" s="3" t="s">
        <v>166</v>
      </c>
      <c r="E39" s="3">
        <v>347.43</v>
      </c>
    </row>
    <row r="40" spans="1:5" ht="15.75" customHeight="1" x14ac:dyDescent="0.25">
      <c r="A40" s="3" t="s">
        <v>126</v>
      </c>
      <c r="B40" s="3" t="s">
        <v>26</v>
      </c>
      <c r="C40" s="3" t="s">
        <v>163</v>
      </c>
      <c r="D40" s="3" t="s">
        <v>148</v>
      </c>
      <c r="E40" s="3">
        <v>705.93</v>
      </c>
    </row>
    <row r="41" spans="1:5" ht="15.75" customHeight="1" x14ac:dyDescent="0.25">
      <c r="A41" s="3" t="s">
        <v>130</v>
      </c>
      <c r="B41" s="3" t="s">
        <v>52</v>
      </c>
      <c r="C41" s="3" t="s">
        <v>151</v>
      </c>
      <c r="D41" s="3" t="s">
        <v>166</v>
      </c>
      <c r="E41" s="3">
        <v>365.28</v>
      </c>
    </row>
    <row r="42" spans="1:5" ht="15.75" customHeight="1" x14ac:dyDescent="0.25">
      <c r="A42" s="3" t="s">
        <v>76</v>
      </c>
      <c r="B42" s="3" t="s">
        <v>22</v>
      </c>
      <c r="C42" s="3" t="s">
        <v>172</v>
      </c>
      <c r="D42" s="3" t="s">
        <v>155</v>
      </c>
      <c r="E42" s="3">
        <v>536.77</v>
      </c>
    </row>
    <row r="43" spans="1:5" ht="15.75" customHeight="1" x14ac:dyDescent="0.25">
      <c r="A43" s="3" t="s">
        <v>112</v>
      </c>
      <c r="B43" s="3" t="s">
        <v>31</v>
      </c>
      <c r="C43" s="3" t="s">
        <v>163</v>
      </c>
      <c r="D43" s="3" t="s">
        <v>148</v>
      </c>
      <c r="E43" s="3">
        <v>877.23</v>
      </c>
    </row>
    <row r="44" spans="1:5" ht="15.75" customHeight="1" x14ac:dyDescent="0.25">
      <c r="A44" s="3" t="s">
        <v>139</v>
      </c>
      <c r="B44" s="3" t="s">
        <v>109</v>
      </c>
      <c r="C44" s="3" t="s">
        <v>163</v>
      </c>
      <c r="D44" s="3" t="s">
        <v>158</v>
      </c>
      <c r="E44" s="3">
        <v>379.85</v>
      </c>
    </row>
    <row r="45" spans="1:5" ht="15.75" customHeight="1" x14ac:dyDescent="0.25">
      <c r="A45" s="3" t="s">
        <v>101</v>
      </c>
      <c r="B45" s="3" t="s">
        <v>24</v>
      </c>
      <c r="C45" s="3" t="s">
        <v>149</v>
      </c>
      <c r="D45" s="3" t="s">
        <v>155</v>
      </c>
      <c r="E45" s="3">
        <v>991.03</v>
      </c>
    </row>
    <row r="46" spans="1:5" ht="15.75" customHeight="1" x14ac:dyDescent="0.25">
      <c r="A46" s="3" t="s">
        <v>97</v>
      </c>
      <c r="B46" s="3" t="s">
        <v>52</v>
      </c>
      <c r="C46" s="3" t="s">
        <v>161</v>
      </c>
      <c r="D46" s="3" t="s">
        <v>155</v>
      </c>
      <c r="E46" s="3">
        <v>174.26</v>
      </c>
    </row>
    <row r="47" spans="1:5" ht="15.75" customHeight="1" x14ac:dyDescent="0.25">
      <c r="A47" s="3" t="s">
        <v>15</v>
      </c>
      <c r="B47" s="3" t="s">
        <v>16</v>
      </c>
      <c r="C47" s="3" t="s">
        <v>173</v>
      </c>
      <c r="D47" s="3" t="s">
        <v>160</v>
      </c>
      <c r="E47" s="3">
        <v>339.98</v>
      </c>
    </row>
    <row r="48" spans="1:5" ht="15.75" customHeight="1" x14ac:dyDescent="0.25">
      <c r="A48" s="3" t="s">
        <v>106</v>
      </c>
      <c r="B48" s="3" t="s">
        <v>50</v>
      </c>
      <c r="C48" s="3" t="s">
        <v>149</v>
      </c>
      <c r="D48" s="3" t="s">
        <v>148</v>
      </c>
      <c r="E48" s="3">
        <v>143.75</v>
      </c>
    </row>
    <row r="49" spans="1:5" ht="15.75" customHeight="1" x14ac:dyDescent="0.25">
      <c r="A49" s="3" t="s">
        <v>142</v>
      </c>
      <c r="B49" s="3" t="s">
        <v>5</v>
      </c>
      <c r="C49" s="3" t="s">
        <v>161</v>
      </c>
      <c r="D49" s="3" t="s">
        <v>166</v>
      </c>
      <c r="E49" s="3">
        <v>124.79</v>
      </c>
    </row>
    <row r="50" spans="1:5" ht="15.75" customHeight="1" x14ac:dyDescent="0.25">
      <c r="A50" s="3" t="s">
        <v>21</v>
      </c>
      <c r="B50" s="3" t="s">
        <v>22</v>
      </c>
      <c r="C50" s="3" t="s">
        <v>164</v>
      </c>
      <c r="D50" s="3" t="s">
        <v>158</v>
      </c>
      <c r="E50" s="3">
        <v>539.37</v>
      </c>
    </row>
    <row r="51" spans="1:5" ht="15.75" customHeight="1" x14ac:dyDescent="0.25">
      <c r="A51" s="3" t="s">
        <v>6</v>
      </c>
      <c r="B51" s="3" t="s">
        <v>5</v>
      </c>
      <c r="C51" s="3" t="s">
        <v>169</v>
      </c>
      <c r="D51" s="3" t="s">
        <v>148</v>
      </c>
      <c r="E51" s="3">
        <v>121.42</v>
      </c>
    </row>
    <row r="52" spans="1:5" ht="15.75" customHeight="1" x14ac:dyDescent="0.25">
      <c r="A52" s="3" t="s">
        <v>54</v>
      </c>
      <c r="B52" s="3" t="s">
        <v>22</v>
      </c>
      <c r="C52" s="3" t="s">
        <v>169</v>
      </c>
      <c r="D52" s="3" t="s">
        <v>152</v>
      </c>
      <c r="E52" s="3">
        <v>188.17</v>
      </c>
    </row>
    <row r="53" spans="1:5" ht="15.75" customHeight="1" x14ac:dyDescent="0.25">
      <c r="A53" s="3" t="s">
        <v>11</v>
      </c>
      <c r="B53" s="3" t="s">
        <v>5</v>
      </c>
      <c r="C53" s="3" t="s">
        <v>170</v>
      </c>
      <c r="D53" s="3" t="s">
        <v>160</v>
      </c>
      <c r="E53" s="3">
        <v>216.51</v>
      </c>
    </row>
    <row r="54" spans="1:5" ht="15.75" customHeight="1" x14ac:dyDescent="0.25">
      <c r="A54" s="3" t="s">
        <v>55</v>
      </c>
      <c r="B54" s="3" t="s">
        <v>24</v>
      </c>
      <c r="C54" s="3" t="s">
        <v>163</v>
      </c>
      <c r="D54" s="3" t="s">
        <v>166</v>
      </c>
      <c r="E54" s="3">
        <v>919.26</v>
      </c>
    </row>
    <row r="55" spans="1:5" ht="15.75" customHeight="1" x14ac:dyDescent="0.25">
      <c r="A55" s="3" t="s">
        <v>35</v>
      </c>
      <c r="B55" s="3" t="s">
        <v>8</v>
      </c>
      <c r="C55" s="3" t="s">
        <v>156</v>
      </c>
      <c r="D55" s="3" t="s">
        <v>148</v>
      </c>
      <c r="E55" s="3">
        <v>504.18</v>
      </c>
    </row>
    <row r="56" spans="1:5" ht="15.75" customHeight="1" x14ac:dyDescent="0.25">
      <c r="A56" s="3" t="s">
        <v>25</v>
      </c>
      <c r="B56" s="3" t="s">
        <v>26</v>
      </c>
      <c r="C56" s="3" t="s">
        <v>156</v>
      </c>
      <c r="D56" s="3" t="s">
        <v>166</v>
      </c>
      <c r="E56" s="3">
        <v>793.19</v>
      </c>
    </row>
    <row r="57" spans="1:5" ht="15.75" customHeight="1" x14ac:dyDescent="0.25">
      <c r="A57" s="3" t="s">
        <v>121</v>
      </c>
      <c r="B57" s="3" t="s">
        <v>50</v>
      </c>
      <c r="C57" s="3" t="s">
        <v>162</v>
      </c>
      <c r="D57" s="3" t="s">
        <v>158</v>
      </c>
      <c r="E57" s="3">
        <v>542.75</v>
      </c>
    </row>
    <row r="58" spans="1:5" ht="15.75" customHeight="1" x14ac:dyDescent="0.25">
      <c r="A58" s="3" t="s">
        <v>96</v>
      </c>
      <c r="B58" s="3" t="s">
        <v>50</v>
      </c>
      <c r="C58" s="3" t="s">
        <v>147</v>
      </c>
      <c r="D58" s="3" t="s">
        <v>150</v>
      </c>
      <c r="E58" s="3">
        <v>363.9</v>
      </c>
    </row>
    <row r="59" spans="1:5" ht="15.75" customHeight="1" x14ac:dyDescent="0.25">
      <c r="A59" s="3" t="s">
        <v>81</v>
      </c>
      <c r="B59" s="3" t="s">
        <v>82</v>
      </c>
      <c r="C59" s="3" t="s">
        <v>167</v>
      </c>
      <c r="D59" s="3" t="s">
        <v>150</v>
      </c>
      <c r="E59" s="3">
        <v>584.16999999999996</v>
      </c>
    </row>
    <row r="60" spans="1:5" ht="15.75" customHeight="1" x14ac:dyDescent="0.25">
      <c r="A60" s="3" t="s">
        <v>17</v>
      </c>
      <c r="B60" s="3" t="s">
        <v>16</v>
      </c>
      <c r="C60" s="3" t="s">
        <v>161</v>
      </c>
      <c r="D60" s="3" t="s">
        <v>148</v>
      </c>
      <c r="E60" s="3">
        <v>820.78</v>
      </c>
    </row>
    <row r="61" spans="1:5" ht="15.75" customHeight="1" x14ac:dyDescent="0.25">
      <c r="A61" s="3" t="s">
        <v>43</v>
      </c>
      <c r="B61" s="3" t="s">
        <v>16</v>
      </c>
      <c r="C61" s="3" t="s">
        <v>163</v>
      </c>
      <c r="D61" s="3" t="s">
        <v>148</v>
      </c>
      <c r="E61" s="3">
        <v>92.41</v>
      </c>
    </row>
    <row r="62" spans="1:5" ht="15.75" customHeight="1" x14ac:dyDescent="0.25">
      <c r="A62" s="3" t="s">
        <v>45</v>
      </c>
      <c r="B62" s="3" t="s">
        <v>24</v>
      </c>
      <c r="C62" s="3" t="s">
        <v>157</v>
      </c>
      <c r="D62" s="3" t="s">
        <v>150</v>
      </c>
      <c r="E62" s="3">
        <v>977.6</v>
      </c>
    </row>
    <row r="63" spans="1:5" ht="15.75" customHeight="1" x14ac:dyDescent="0.25">
      <c r="A63" s="3" t="s">
        <v>118</v>
      </c>
      <c r="B63" s="3" t="s">
        <v>52</v>
      </c>
      <c r="C63" s="3" t="s">
        <v>173</v>
      </c>
      <c r="D63" s="3" t="s">
        <v>152</v>
      </c>
      <c r="E63" s="3">
        <v>580.80999999999995</v>
      </c>
    </row>
    <row r="64" spans="1:5" ht="15.75" customHeight="1" x14ac:dyDescent="0.25">
      <c r="A64" s="3" t="s">
        <v>117</v>
      </c>
      <c r="B64" s="3" t="s">
        <v>28</v>
      </c>
      <c r="C64" s="3" t="s">
        <v>168</v>
      </c>
      <c r="D64" s="3" t="s">
        <v>166</v>
      </c>
      <c r="E64" s="3">
        <v>383.87</v>
      </c>
    </row>
    <row r="65" spans="1:5" ht="15.75" customHeight="1" x14ac:dyDescent="0.25">
      <c r="A65" s="3" t="s">
        <v>53</v>
      </c>
      <c r="B65" s="3" t="s">
        <v>50</v>
      </c>
      <c r="C65" s="3" t="s">
        <v>154</v>
      </c>
      <c r="D65" s="3" t="s">
        <v>166</v>
      </c>
      <c r="E65" s="3">
        <v>723.8</v>
      </c>
    </row>
    <row r="66" spans="1:5" ht="15.75" customHeight="1" x14ac:dyDescent="0.25">
      <c r="A66" s="3" t="s">
        <v>72</v>
      </c>
      <c r="B66" s="3" t="s">
        <v>13</v>
      </c>
      <c r="C66" s="3" t="s">
        <v>159</v>
      </c>
      <c r="D66" s="3" t="s">
        <v>166</v>
      </c>
      <c r="E66" s="3">
        <v>503.07</v>
      </c>
    </row>
    <row r="67" spans="1:5" ht="15.75" customHeight="1" x14ac:dyDescent="0.25">
      <c r="A67" s="3" t="s">
        <v>64</v>
      </c>
      <c r="B67" s="3" t="s">
        <v>41</v>
      </c>
      <c r="C67" s="3" t="s">
        <v>173</v>
      </c>
      <c r="D67" s="3" t="s">
        <v>150</v>
      </c>
      <c r="E67" s="3">
        <v>742.3</v>
      </c>
    </row>
    <row r="68" spans="1:5" ht="15.75" customHeight="1" x14ac:dyDescent="0.25">
      <c r="A68" s="3" t="s">
        <v>37</v>
      </c>
      <c r="B68" s="3" t="s">
        <v>8</v>
      </c>
      <c r="C68" s="3" t="s">
        <v>156</v>
      </c>
      <c r="D68" s="3" t="s">
        <v>160</v>
      </c>
      <c r="E68" s="3">
        <v>506.5</v>
      </c>
    </row>
    <row r="69" spans="1:5" ht="15.75" customHeight="1" x14ac:dyDescent="0.25">
      <c r="A69" s="3" t="s">
        <v>57</v>
      </c>
      <c r="B69" s="3" t="s">
        <v>8</v>
      </c>
      <c r="C69" s="3" t="s">
        <v>156</v>
      </c>
      <c r="D69" s="3" t="s">
        <v>160</v>
      </c>
      <c r="E69" s="3">
        <v>863.63</v>
      </c>
    </row>
    <row r="70" spans="1:5" ht="15.75" customHeight="1" x14ac:dyDescent="0.25">
      <c r="A70" s="3" t="s">
        <v>9</v>
      </c>
      <c r="B70" s="3" t="s">
        <v>8</v>
      </c>
      <c r="C70" s="3" t="s">
        <v>147</v>
      </c>
      <c r="D70" s="3" t="s">
        <v>166</v>
      </c>
      <c r="E70" s="3">
        <v>577.42999999999995</v>
      </c>
    </row>
    <row r="71" spans="1:5" ht="15.75" customHeight="1" x14ac:dyDescent="0.25">
      <c r="A71" s="3" t="s">
        <v>68</v>
      </c>
      <c r="B71" s="3" t="s">
        <v>62</v>
      </c>
      <c r="C71" s="3" t="s">
        <v>147</v>
      </c>
      <c r="D71" s="3" t="s">
        <v>158</v>
      </c>
      <c r="E71" s="3">
        <v>588.87</v>
      </c>
    </row>
    <row r="72" spans="1:5" ht="15.75" customHeight="1" x14ac:dyDescent="0.25">
      <c r="A72" s="3" t="s">
        <v>138</v>
      </c>
      <c r="B72" s="3" t="s">
        <v>85</v>
      </c>
      <c r="C72" s="3" t="s">
        <v>173</v>
      </c>
      <c r="D72" s="3" t="s">
        <v>155</v>
      </c>
      <c r="E72" s="3">
        <v>741.36</v>
      </c>
    </row>
    <row r="73" spans="1:5" ht="15.75" customHeight="1" x14ac:dyDescent="0.25">
      <c r="A73" s="3" t="s">
        <v>49</v>
      </c>
      <c r="B73" s="3" t="s">
        <v>50</v>
      </c>
      <c r="C73" s="3" t="s">
        <v>157</v>
      </c>
      <c r="D73" s="3" t="s">
        <v>166</v>
      </c>
      <c r="E73" s="3">
        <v>89.57</v>
      </c>
    </row>
    <row r="74" spans="1:5" ht="15.75" customHeight="1" x14ac:dyDescent="0.25">
      <c r="A74" s="3" t="s">
        <v>42</v>
      </c>
      <c r="B74" s="3" t="s">
        <v>24</v>
      </c>
      <c r="C74" s="3" t="s">
        <v>151</v>
      </c>
      <c r="D74" s="3" t="s">
        <v>155</v>
      </c>
      <c r="E74" s="3">
        <v>560.16</v>
      </c>
    </row>
    <row r="75" spans="1:5" ht="15.75" customHeight="1" x14ac:dyDescent="0.25">
      <c r="A75" s="3" t="s">
        <v>140</v>
      </c>
      <c r="B75" s="3" t="s">
        <v>85</v>
      </c>
      <c r="C75" s="3" t="s">
        <v>159</v>
      </c>
      <c r="D75" s="3" t="s">
        <v>166</v>
      </c>
      <c r="E75" s="3">
        <v>306.18</v>
      </c>
    </row>
    <row r="76" spans="1:5" ht="15.75" customHeight="1" x14ac:dyDescent="0.25">
      <c r="A76" s="3" t="s">
        <v>58</v>
      </c>
      <c r="B76" s="3" t="s">
        <v>24</v>
      </c>
      <c r="C76" s="3" t="s">
        <v>172</v>
      </c>
      <c r="D76" s="3" t="s">
        <v>158</v>
      </c>
      <c r="E76" s="3">
        <v>499.23</v>
      </c>
    </row>
    <row r="77" spans="1:5" ht="15.75" customHeight="1" x14ac:dyDescent="0.25">
      <c r="A77" s="3" t="s">
        <v>77</v>
      </c>
      <c r="B77" s="3" t="s">
        <v>50</v>
      </c>
      <c r="C77" s="3" t="s">
        <v>156</v>
      </c>
      <c r="D77" s="3" t="s">
        <v>160</v>
      </c>
      <c r="E77" s="3">
        <v>833.87</v>
      </c>
    </row>
    <row r="78" spans="1:5" ht="15.75" customHeight="1" x14ac:dyDescent="0.25">
      <c r="A78" s="3" t="s">
        <v>94</v>
      </c>
      <c r="B78" s="3" t="s">
        <v>52</v>
      </c>
      <c r="C78" s="3" t="s">
        <v>147</v>
      </c>
      <c r="D78" s="3" t="s">
        <v>155</v>
      </c>
      <c r="E78" s="3">
        <v>280.29000000000002</v>
      </c>
    </row>
    <row r="79" spans="1:5" ht="15.75" customHeight="1" x14ac:dyDescent="0.25">
      <c r="A79" s="3" t="s">
        <v>83</v>
      </c>
      <c r="B79" s="3" t="s">
        <v>5</v>
      </c>
      <c r="C79" s="3" t="s">
        <v>162</v>
      </c>
      <c r="D79" s="3" t="s">
        <v>155</v>
      </c>
      <c r="E79" s="3">
        <v>818.42</v>
      </c>
    </row>
    <row r="80" spans="1:5" ht="15.75" customHeight="1" x14ac:dyDescent="0.25">
      <c r="A80" s="3" t="s">
        <v>111</v>
      </c>
      <c r="B80" s="3" t="s">
        <v>109</v>
      </c>
      <c r="C80" s="3" t="s">
        <v>172</v>
      </c>
      <c r="D80" s="3" t="s">
        <v>150</v>
      </c>
      <c r="E80" s="3">
        <v>830.71</v>
      </c>
    </row>
    <row r="81" spans="1:5" ht="15.75" customHeight="1" x14ac:dyDescent="0.25">
      <c r="A81" s="3" t="s">
        <v>103</v>
      </c>
      <c r="B81" s="3" t="s">
        <v>26</v>
      </c>
      <c r="C81" s="3" t="s">
        <v>157</v>
      </c>
      <c r="D81" s="3" t="s">
        <v>150</v>
      </c>
      <c r="E81" s="3">
        <v>306.2</v>
      </c>
    </row>
    <row r="82" spans="1:5" ht="15.75" customHeight="1" x14ac:dyDescent="0.25">
      <c r="A82" s="3" t="s">
        <v>51</v>
      </c>
      <c r="B82" s="3" t="s">
        <v>52</v>
      </c>
      <c r="C82" s="3" t="s">
        <v>147</v>
      </c>
      <c r="D82" s="3" t="s">
        <v>166</v>
      </c>
      <c r="E82" s="3">
        <v>576.61</v>
      </c>
    </row>
    <row r="83" spans="1:5" ht="15.75" customHeight="1" x14ac:dyDescent="0.25">
      <c r="A83" s="3" t="s">
        <v>74</v>
      </c>
      <c r="B83" s="3" t="s">
        <v>75</v>
      </c>
      <c r="C83" s="3" t="s">
        <v>164</v>
      </c>
      <c r="D83" s="3" t="s">
        <v>160</v>
      </c>
      <c r="E83" s="3">
        <v>188.01</v>
      </c>
    </row>
    <row r="84" spans="1:5" ht="15.75" customHeight="1" x14ac:dyDescent="0.25">
      <c r="A84" s="3" t="s">
        <v>33</v>
      </c>
      <c r="B84" s="3" t="s">
        <v>28</v>
      </c>
      <c r="C84" s="3" t="s">
        <v>168</v>
      </c>
      <c r="D84" s="3" t="s">
        <v>160</v>
      </c>
      <c r="E84" s="3">
        <v>401.23</v>
      </c>
    </row>
    <row r="85" spans="1:5" ht="15.75" customHeight="1" x14ac:dyDescent="0.25">
      <c r="A85" s="3" t="s">
        <v>128</v>
      </c>
      <c r="B85" s="3" t="s">
        <v>82</v>
      </c>
      <c r="C85" s="3" t="s">
        <v>169</v>
      </c>
      <c r="D85" s="3" t="s">
        <v>152</v>
      </c>
      <c r="E85" s="3">
        <v>811.47</v>
      </c>
    </row>
    <row r="86" spans="1:5" ht="15.75" customHeight="1" x14ac:dyDescent="0.25">
      <c r="A86" s="3" t="s">
        <v>104</v>
      </c>
      <c r="B86" s="3" t="s">
        <v>5</v>
      </c>
      <c r="C86" s="3" t="s">
        <v>151</v>
      </c>
      <c r="D86" s="3" t="s">
        <v>158</v>
      </c>
      <c r="E86" s="3">
        <v>447.66</v>
      </c>
    </row>
    <row r="87" spans="1:5" ht="15.75" customHeight="1" x14ac:dyDescent="0.25">
      <c r="A87" s="3" t="s">
        <v>93</v>
      </c>
      <c r="B87" s="3" t="s">
        <v>82</v>
      </c>
      <c r="C87" s="3" t="s">
        <v>147</v>
      </c>
      <c r="D87" s="3" t="s">
        <v>152</v>
      </c>
      <c r="E87" s="3">
        <v>670.72</v>
      </c>
    </row>
    <row r="88" spans="1:5" ht="15.75" customHeight="1" x14ac:dyDescent="0.25">
      <c r="A88" s="3" t="s">
        <v>132</v>
      </c>
      <c r="B88" s="3" t="s">
        <v>26</v>
      </c>
      <c r="C88" s="3" t="s">
        <v>153</v>
      </c>
      <c r="D88" s="3" t="s">
        <v>152</v>
      </c>
      <c r="E88" s="3">
        <v>302.33999999999997</v>
      </c>
    </row>
    <row r="89" spans="1:5" ht="15.75" customHeight="1" x14ac:dyDescent="0.25">
      <c r="A89" s="3" t="s">
        <v>80</v>
      </c>
      <c r="B89" s="3" t="s">
        <v>22</v>
      </c>
      <c r="C89" s="3" t="s">
        <v>165</v>
      </c>
      <c r="D89" s="3" t="s">
        <v>148</v>
      </c>
      <c r="E89" s="3">
        <v>658.98</v>
      </c>
    </row>
    <row r="90" spans="1:5" ht="15.75" customHeight="1" x14ac:dyDescent="0.25">
      <c r="A90" s="3" t="s">
        <v>61</v>
      </c>
      <c r="B90" s="3" t="s">
        <v>62</v>
      </c>
      <c r="C90" s="3" t="s">
        <v>167</v>
      </c>
      <c r="D90" s="3" t="s">
        <v>158</v>
      </c>
      <c r="E90" s="3">
        <v>294.33</v>
      </c>
    </row>
    <row r="91" spans="1:5" ht="15.75" customHeight="1" x14ac:dyDescent="0.25">
      <c r="A91" s="3" t="s">
        <v>141</v>
      </c>
      <c r="B91" s="3" t="s">
        <v>24</v>
      </c>
      <c r="C91" s="3" t="s">
        <v>163</v>
      </c>
      <c r="D91" s="3" t="s">
        <v>152</v>
      </c>
      <c r="E91" s="3">
        <v>499.44</v>
      </c>
    </row>
    <row r="92" spans="1:5" ht="15.75" customHeight="1" x14ac:dyDescent="0.25">
      <c r="A92" s="3" t="s">
        <v>18</v>
      </c>
      <c r="B92" s="3" t="s">
        <v>13</v>
      </c>
      <c r="C92" s="3" t="s">
        <v>149</v>
      </c>
      <c r="D92" s="3" t="s">
        <v>152</v>
      </c>
      <c r="E92" s="3">
        <v>787.03</v>
      </c>
    </row>
    <row r="93" spans="1:5" ht="15.75" customHeight="1" x14ac:dyDescent="0.25">
      <c r="A93" s="3" t="s">
        <v>46</v>
      </c>
      <c r="B93" s="3" t="s">
        <v>20</v>
      </c>
      <c r="C93" s="3" t="s">
        <v>153</v>
      </c>
      <c r="D93" s="3" t="s">
        <v>150</v>
      </c>
      <c r="E93" s="3">
        <v>806.69</v>
      </c>
    </row>
    <row r="94" spans="1:5" ht="15.75" customHeight="1" x14ac:dyDescent="0.25">
      <c r="A94" s="3" t="s">
        <v>124</v>
      </c>
      <c r="B94" s="3" t="s">
        <v>26</v>
      </c>
      <c r="C94" s="3" t="s">
        <v>172</v>
      </c>
      <c r="D94" s="3" t="s">
        <v>155</v>
      </c>
      <c r="E94" s="3">
        <v>334.38</v>
      </c>
    </row>
    <row r="95" spans="1:5" ht="15.75" customHeight="1" x14ac:dyDescent="0.25">
      <c r="A95" s="3" t="s">
        <v>143</v>
      </c>
      <c r="B95" s="3" t="s">
        <v>16</v>
      </c>
      <c r="C95" s="3" t="s">
        <v>147</v>
      </c>
      <c r="D95" s="3" t="s">
        <v>155</v>
      </c>
      <c r="E95" s="3">
        <v>912.84</v>
      </c>
    </row>
    <row r="96" spans="1:5" ht="15.75" customHeight="1" x14ac:dyDescent="0.25">
      <c r="A96" s="3" t="s">
        <v>48</v>
      </c>
      <c r="B96" s="3" t="s">
        <v>22</v>
      </c>
      <c r="C96" s="3" t="s">
        <v>163</v>
      </c>
      <c r="D96" s="3" t="s">
        <v>160</v>
      </c>
      <c r="E96" s="3">
        <v>349.59</v>
      </c>
    </row>
    <row r="97" spans="1:5" ht="15.75" customHeight="1" x14ac:dyDescent="0.25">
      <c r="A97" s="3" t="s">
        <v>44</v>
      </c>
      <c r="B97" s="3" t="s">
        <v>20</v>
      </c>
      <c r="C97" s="3" t="s">
        <v>172</v>
      </c>
      <c r="D97" s="3" t="s">
        <v>160</v>
      </c>
      <c r="E97" s="3">
        <v>959.82</v>
      </c>
    </row>
    <row r="98" spans="1:5" ht="15.75" customHeight="1" x14ac:dyDescent="0.25">
      <c r="A98" s="3" t="s">
        <v>90</v>
      </c>
      <c r="B98" s="3" t="s">
        <v>39</v>
      </c>
      <c r="C98" s="3" t="s">
        <v>173</v>
      </c>
      <c r="D98" s="3" t="s">
        <v>155</v>
      </c>
      <c r="E98" s="3">
        <v>970.1</v>
      </c>
    </row>
    <row r="99" spans="1:5" ht="15.75" customHeight="1" x14ac:dyDescent="0.25">
      <c r="A99" s="3" t="s">
        <v>95</v>
      </c>
      <c r="B99" s="3" t="s">
        <v>39</v>
      </c>
      <c r="C99" s="3" t="s">
        <v>165</v>
      </c>
      <c r="D99" s="3" t="s">
        <v>152</v>
      </c>
      <c r="E99" s="3">
        <v>950.74</v>
      </c>
    </row>
    <row r="100" spans="1:5" ht="15.75" customHeight="1" x14ac:dyDescent="0.25">
      <c r="A100" s="3" t="s">
        <v>114</v>
      </c>
      <c r="B100" s="3" t="s">
        <v>75</v>
      </c>
      <c r="C100" s="3" t="s">
        <v>147</v>
      </c>
      <c r="D100" s="3" t="s">
        <v>152</v>
      </c>
      <c r="E100" s="3">
        <v>405.92</v>
      </c>
    </row>
    <row r="101" spans="1:5" ht="15.75" customHeight="1" x14ac:dyDescent="0.25">
      <c r="A101" s="3" t="s">
        <v>87</v>
      </c>
      <c r="B101" s="3" t="s">
        <v>39</v>
      </c>
      <c r="C101" s="3" t="s">
        <v>169</v>
      </c>
      <c r="D101" s="3" t="s">
        <v>155</v>
      </c>
      <c r="E101" s="3">
        <v>510.54</v>
      </c>
    </row>
    <row r="102" spans="1:5" ht="15.75" customHeight="1" x14ac:dyDescent="0.25">
      <c r="A102" s="3" t="s">
        <v>123</v>
      </c>
      <c r="B102" s="3" t="s">
        <v>79</v>
      </c>
      <c r="C102" s="3" t="s">
        <v>157</v>
      </c>
      <c r="D102" s="3" t="s">
        <v>160</v>
      </c>
      <c r="E102" s="3">
        <v>950.93</v>
      </c>
    </row>
    <row r="103" spans="1:5" ht="15.75" customHeight="1" x14ac:dyDescent="0.25">
      <c r="A103" s="3" t="s">
        <v>105</v>
      </c>
      <c r="B103" s="3" t="s">
        <v>79</v>
      </c>
      <c r="C103" s="3" t="s">
        <v>162</v>
      </c>
      <c r="D103" s="3" t="s">
        <v>158</v>
      </c>
      <c r="E103" s="3">
        <v>676.7</v>
      </c>
    </row>
    <row r="104" spans="1:5" ht="15.75" customHeight="1" x14ac:dyDescent="0.25">
      <c r="A104" s="3" t="s">
        <v>69</v>
      </c>
      <c r="B104" s="3" t="s">
        <v>24</v>
      </c>
      <c r="C104" s="3" t="s">
        <v>172</v>
      </c>
      <c r="D104" s="3" t="s">
        <v>166</v>
      </c>
      <c r="E104" s="3">
        <v>383.27</v>
      </c>
    </row>
    <row r="105" spans="1:5" ht="15.75" customHeight="1" x14ac:dyDescent="0.25">
      <c r="A105" s="3" t="s">
        <v>56</v>
      </c>
      <c r="B105" s="3" t="s">
        <v>5</v>
      </c>
      <c r="C105" s="3" t="s">
        <v>169</v>
      </c>
      <c r="D105" s="3" t="s">
        <v>155</v>
      </c>
      <c r="E105" s="3">
        <v>597.80999999999995</v>
      </c>
    </row>
    <row r="106" spans="1:5" ht="15.75" customHeight="1" x14ac:dyDescent="0.25">
      <c r="A106" s="3" t="s">
        <v>100</v>
      </c>
      <c r="B106" s="3" t="s">
        <v>79</v>
      </c>
      <c r="C106" s="3" t="s">
        <v>153</v>
      </c>
      <c r="D106" s="3" t="s">
        <v>166</v>
      </c>
      <c r="E106" s="3">
        <v>549.75</v>
      </c>
    </row>
    <row r="107" spans="1:5" ht="15.75" customHeight="1" x14ac:dyDescent="0.25">
      <c r="A107" s="3" t="s">
        <v>115</v>
      </c>
      <c r="B107" s="3" t="s">
        <v>50</v>
      </c>
      <c r="C107" s="3" t="s">
        <v>154</v>
      </c>
      <c r="D107" s="3" t="s">
        <v>150</v>
      </c>
      <c r="E107" s="3">
        <v>576.48</v>
      </c>
    </row>
    <row r="108" spans="1:5" ht="15.75" customHeight="1" x14ac:dyDescent="0.25">
      <c r="A108" s="3" t="s">
        <v>122</v>
      </c>
      <c r="B108" s="3" t="s">
        <v>26</v>
      </c>
      <c r="C108" s="3" t="s">
        <v>149</v>
      </c>
      <c r="D108" s="3" t="s">
        <v>158</v>
      </c>
      <c r="E108" s="3">
        <v>931.11</v>
      </c>
    </row>
    <row r="109" spans="1:5" ht="15.75" customHeight="1" x14ac:dyDescent="0.25">
      <c r="A109" s="3" t="s">
        <v>27</v>
      </c>
      <c r="B109" s="3" t="s">
        <v>28</v>
      </c>
      <c r="C109" s="3" t="s">
        <v>154</v>
      </c>
      <c r="D109" s="3" t="s">
        <v>166</v>
      </c>
      <c r="E109" s="3">
        <v>967.84</v>
      </c>
    </row>
    <row r="110" spans="1:5" ht="15.75" customHeight="1" x14ac:dyDescent="0.25">
      <c r="A110" s="3" t="s">
        <v>134</v>
      </c>
      <c r="B110" s="3" t="s">
        <v>85</v>
      </c>
      <c r="C110" s="3" t="s">
        <v>171</v>
      </c>
      <c r="D110" s="3" t="s">
        <v>158</v>
      </c>
      <c r="E110" s="3">
        <v>682.72</v>
      </c>
    </row>
    <row r="111" spans="1:5" ht="15.75" customHeight="1" x14ac:dyDescent="0.25">
      <c r="A111" s="3" t="s">
        <v>86</v>
      </c>
      <c r="B111" s="3" t="s">
        <v>26</v>
      </c>
      <c r="C111" s="3" t="s">
        <v>169</v>
      </c>
      <c r="D111" s="3" t="s">
        <v>158</v>
      </c>
      <c r="E111" s="3">
        <v>418.89</v>
      </c>
    </row>
    <row r="112" spans="1:5" ht="15.75" customHeight="1" x14ac:dyDescent="0.25">
      <c r="A112" s="3" t="s">
        <v>102</v>
      </c>
      <c r="B112" s="3" t="s">
        <v>41</v>
      </c>
      <c r="C112" s="3" t="s">
        <v>157</v>
      </c>
      <c r="D112" s="3" t="s">
        <v>160</v>
      </c>
      <c r="E112" s="3">
        <v>927.57</v>
      </c>
    </row>
    <row r="113" spans="1:5" ht="15.75" customHeight="1" x14ac:dyDescent="0.25">
      <c r="A113" s="3" t="s">
        <v>84</v>
      </c>
      <c r="B113" s="3" t="s">
        <v>85</v>
      </c>
      <c r="C113" s="3" t="s">
        <v>172</v>
      </c>
      <c r="D113" s="3" t="s">
        <v>155</v>
      </c>
      <c r="E113" s="3">
        <v>898.39</v>
      </c>
    </row>
    <row r="114" spans="1:5" ht="15.75" customHeight="1" x14ac:dyDescent="0.25">
      <c r="A114" s="3" t="s">
        <v>92</v>
      </c>
      <c r="B114" s="3" t="s">
        <v>82</v>
      </c>
      <c r="C114" s="3" t="s">
        <v>172</v>
      </c>
      <c r="D114" s="3" t="s">
        <v>152</v>
      </c>
      <c r="E114" s="3">
        <v>333.64</v>
      </c>
    </row>
    <row r="115" spans="1:5" ht="15.75" customHeight="1" x14ac:dyDescent="0.25">
      <c r="A115" s="3" t="s">
        <v>108</v>
      </c>
      <c r="B115" s="3" t="s">
        <v>109</v>
      </c>
      <c r="C115" s="3" t="s">
        <v>159</v>
      </c>
      <c r="D115" s="3" t="s">
        <v>166</v>
      </c>
      <c r="E115" s="3">
        <v>285.57</v>
      </c>
    </row>
    <row r="116" spans="1:5" ht="15.75" customHeight="1" x14ac:dyDescent="0.25">
      <c r="A116" s="3" t="s">
        <v>113</v>
      </c>
      <c r="B116" s="3" t="s">
        <v>85</v>
      </c>
      <c r="C116" s="3" t="s">
        <v>169</v>
      </c>
      <c r="D116" s="3" t="s">
        <v>166</v>
      </c>
      <c r="E116" s="3">
        <v>143.22</v>
      </c>
    </row>
    <row r="117" spans="1:5" ht="15.75" customHeight="1" x14ac:dyDescent="0.25">
      <c r="A117" s="3" t="s">
        <v>66</v>
      </c>
      <c r="B117" s="3" t="s">
        <v>52</v>
      </c>
      <c r="C117" s="3" t="s">
        <v>171</v>
      </c>
      <c r="D117" s="3" t="s">
        <v>158</v>
      </c>
      <c r="E117" s="3">
        <v>914.49</v>
      </c>
    </row>
    <row r="118" spans="1:5" ht="15.75" customHeight="1" x14ac:dyDescent="0.25">
      <c r="A118" s="3" t="s">
        <v>19</v>
      </c>
      <c r="B118" s="3" t="s">
        <v>20</v>
      </c>
      <c r="C118" s="3" t="s">
        <v>154</v>
      </c>
      <c r="D118" s="3" t="s">
        <v>155</v>
      </c>
      <c r="E118" s="3">
        <v>546.58000000000004</v>
      </c>
    </row>
    <row r="119" spans="1:5" ht="15.75" customHeight="1" x14ac:dyDescent="0.25">
      <c r="A119" s="3" t="s">
        <v>131</v>
      </c>
      <c r="B119" s="3" t="s">
        <v>26</v>
      </c>
      <c r="C119" s="3" t="s">
        <v>173</v>
      </c>
      <c r="D119" s="3" t="s">
        <v>150</v>
      </c>
      <c r="E119" s="3">
        <v>551.52</v>
      </c>
    </row>
    <row r="120" spans="1:5" ht="15.75" customHeight="1" x14ac:dyDescent="0.25">
      <c r="A120" s="3" t="s">
        <v>137</v>
      </c>
      <c r="B120" s="3" t="s">
        <v>20</v>
      </c>
      <c r="C120" s="3" t="s">
        <v>156</v>
      </c>
      <c r="D120" s="3" t="s">
        <v>148</v>
      </c>
      <c r="E120" s="3">
        <v>793.28</v>
      </c>
    </row>
    <row r="121" spans="1:5" ht="15.75" customHeight="1" x14ac:dyDescent="0.25">
      <c r="A121" s="3" t="s">
        <v>91</v>
      </c>
      <c r="B121" s="3" t="s">
        <v>26</v>
      </c>
      <c r="C121" s="3" t="s">
        <v>156</v>
      </c>
      <c r="D121" s="3" t="s">
        <v>160</v>
      </c>
      <c r="E121" s="3">
        <v>479.4</v>
      </c>
    </row>
    <row r="122" spans="1:5" ht="15.75" customHeight="1" x14ac:dyDescent="0.25"/>
    <row r="123" spans="1:5" ht="15.75" customHeight="1" x14ac:dyDescent="0.25"/>
    <row r="124" spans="1:5" ht="15.75" customHeight="1" x14ac:dyDescent="0.25"/>
    <row r="125" spans="1:5" ht="15.75" customHeight="1" x14ac:dyDescent="0.25"/>
    <row r="126" spans="1:5" ht="15.75" customHeight="1" x14ac:dyDescent="0.25"/>
    <row r="127" spans="1:5" ht="15.75" customHeight="1" x14ac:dyDescent="0.25"/>
    <row r="128" spans="1: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1F68-CBDD-437B-B1B6-946A0A433988}">
  <dimension ref="A1:H1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RowHeight="15" x14ac:dyDescent="0.25"/>
  <cols>
    <col min="1" max="1" width="6.85546875" bestFit="1" customWidth="1"/>
    <col min="2" max="2" width="15.85546875" bestFit="1" customWidth="1"/>
    <col min="3" max="3" width="10.5703125" bestFit="1" customWidth="1"/>
    <col min="4" max="4" width="15.85546875" bestFit="1" customWidth="1"/>
    <col min="5" max="5" width="13.7109375" bestFit="1" customWidth="1"/>
    <col min="6" max="6" width="13.28515625" bestFit="1" customWidth="1"/>
    <col min="7" max="7" width="19" bestFit="1" customWidth="1"/>
    <col min="8" max="8" width="18.28515625" bestFit="1" customWidth="1"/>
  </cols>
  <sheetData>
    <row r="1" spans="1:8" x14ac:dyDescent="0.25">
      <c r="A1" t="s">
        <v>1</v>
      </c>
      <c r="B1" t="s">
        <v>145</v>
      </c>
      <c r="C1" t="s">
        <v>146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 spans="1:8" x14ac:dyDescent="0.25">
      <c r="A2" t="s">
        <v>141</v>
      </c>
      <c r="B2" t="str">
        <f>_xlfn.XLOOKUP(tb_Resumo[[#This Row],[SKU]], tb_Cadastro[SKU], tb_Cadastro[Categoria])</f>
        <v>Periféricos</v>
      </c>
      <c r="C2" s="9">
        <f>_xlfn.XLOOKUP(tb_Resumo[[#This Row],[SKU]], tb_Cadastro[SKU], tb_Cadastro[Preço])</f>
        <v>499.44</v>
      </c>
      <c r="D2" s="8">
        <f>SUMIFS(tb_Entrada[Quantidade], tb_Entrada[SKU], tb_Resumo[[#This Row],[SKU]])</f>
        <v>0</v>
      </c>
      <c r="E2" s="8">
        <f>SUMIFS(tb_Saida[Quantidade], tb_Saida[SKU], tb_Resumo[[#This Row],[SKU]])</f>
        <v>277</v>
      </c>
      <c r="F2" s="8">
        <f>tb_Resumo[[#This Row],[Qntd Entradas]]-tb_Resumo[[#This Row],[Qntd Saídas]]</f>
        <v>-277</v>
      </c>
      <c r="G2" s="9">
        <f>tb_Resumo[[#This Row],[Saldo Atual]]*tb_Resumo[[#This Row],[Preço]]</f>
        <v>-138344.88</v>
      </c>
      <c r="H2" s="8" t="str" cm="1">
        <f t="array" ref="H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3" spans="1:8" x14ac:dyDescent="0.25">
      <c r="A3" t="s">
        <v>133</v>
      </c>
      <c r="B3" t="str">
        <f>_xlfn.XLOOKUP(tb_Resumo[[#This Row],[SKU]], tb_Cadastro[SKU], tb_Cadastro[Categoria])</f>
        <v>Acessórios</v>
      </c>
      <c r="C3" s="9">
        <f>_xlfn.XLOOKUP(tb_Resumo[[#This Row],[SKU]], tb_Cadastro[SKU], tb_Cadastro[Preço])</f>
        <v>252.85</v>
      </c>
      <c r="D3" s="8">
        <f>SUMIFS(tb_Entrada[Quantidade], tb_Entrada[SKU], tb_Resumo[[#This Row],[SKU]])</f>
        <v>11</v>
      </c>
      <c r="E3" s="8">
        <f>SUMIFS(tb_Saida[Quantidade], tb_Saida[SKU], tb_Resumo[[#This Row],[SKU]])</f>
        <v>272</v>
      </c>
      <c r="F3" s="8">
        <f>tb_Resumo[[#This Row],[Qntd Entradas]]-tb_Resumo[[#This Row],[Qntd Saídas]]</f>
        <v>-261</v>
      </c>
      <c r="G3" s="9">
        <f>tb_Resumo[[#This Row],[Saldo Atual]]*tb_Resumo[[#This Row],[Preço]]</f>
        <v>-65993.849999999991</v>
      </c>
      <c r="H3" s="8" t="str" cm="1">
        <f t="array" ref="H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4" spans="1:8" x14ac:dyDescent="0.25">
      <c r="A4" t="s">
        <v>19</v>
      </c>
      <c r="B4" t="str">
        <f>_xlfn.XLOOKUP(tb_Resumo[[#This Row],[SKU]], tb_Cadastro[SKU], tb_Cadastro[Categoria])</f>
        <v>Acessórios</v>
      </c>
      <c r="C4" s="9">
        <f>_xlfn.XLOOKUP(tb_Resumo[[#This Row],[SKU]], tb_Cadastro[SKU], tb_Cadastro[Preço])</f>
        <v>546.58000000000004</v>
      </c>
      <c r="D4" s="8">
        <f>SUMIFS(tb_Entrada[Quantidade], tb_Entrada[SKU], tb_Resumo[[#This Row],[SKU]])</f>
        <v>237</v>
      </c>
      <c r="E4" s="8">
        <f>SUMIFS(tb_Saida[Quantidade], tb_Saida[SKU], tb_Resumo[[#This Row],[SKU]])</f>
        <v>462</v>
      </c>
      <c r="F4" s="8">
        <f>tb_Resumo[[#This Row],[Qntd Entradas]]-tb_Resumo[[#This Row],[Qntd Saídas]]</f>
        <v>-225</v>
      </c>
      <c r="G4" s="9">
        <f>tb_Resumo[[#This Row],[Saldo Atual]]*tb_Resumo[[#This Row],[Preço]]</f>
        <v>-122980.50000000001</v>
      </c>
      <c r="H4" s="8" t="str" cm="1">
        <f t="array" ref="H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5" spans="1:8" x14ac:dyDescent="0.25">
      <c r="A5" t="s">
        <v>140</v>
      </c>
      <c r="B5" t="str">
        <f>_xlfn.XLOOKUP(tb_Resumo[[#This Row],[SKU]], tb_Cadastro[SKU], tb_Cadastro[Categoria])</f>
        <v>Armazenamento</v>
      </c>
      <c r="C5" s="9">
        <f>_xlfn.XLOOKUP(tb_Resumo[[#This Row],[SKU]], tb_Cadastro[SKU], tb_Cadastro[Preço])</f>
        <v>306.18</v>
      </c>
      <c r="D5" s="8">
        <f>SUMIFS(tb_Entrada[Quantidade], tb_Entrada[SKU], tb_Resumo[[#This Row],[SKU]])</f>
        <v>8</v>
      </c>
      <c r="E5" s="8">
        <f>SUMIFS(tb_Saida[Quantidade], tb_Saida[SKU], tb_Resumo[[#This Row],[SKU]])</f>
        <v>215</v>
      </c>
      <c r="F5" s="8">
        <f>tb_Resumo[[#This Row],[Qntd Entradas]]-tb_Resumo[[#This Row],[Qntd Saídas]]</f>
        <v>-207</v>
      </c>
      <c r="G5" s="9">
        <f>tb_Resumo[[#This Row],[Saldo Atual]]*tb_Resumo[[#This Row],[Preço]]</f>
        <v>-63379.26</v>
      </c>
      <c r="H5" s="8" t="str" cm="1">
        <f t="array" ref="H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6" spans="1:8" x14ac:dyDescent="0.25">
      <c r="A6" t="s">
        <v>59</v>
      </c>
      <c r="B6" t="str">
        <f>_xlfn.XLOOKUP(tb_Resumo[[#This Row],[SKU]], tb_Cadastro[SKU], tb_Cadastro[Categoria])</f>
        <v>Imagem e Som</v>
      </c>
      <c r="C6" s="9">
        <f>_xlfn.XLOOKUP(tb_Resumo[[#This Row],[SKU]], tb_Cadastro[SKU], tb_Cadastro[Preço])</f>
        <v>240.69</v>
      </c>
      <c r="D6" s="8">
        <f>SUMIFS(tb_Entrada[Quantidade], tb_Entrada[SKU], tb_Resumo[[#This Row],[SKU]])</f>
        <v>163</v>
      </c>
      <c r="E6" s="8">
        <f>SUMIFS(tb_Saida[Quantidade], tb_Saida[SKU], tb_Resumo[[#This Row],[SKU]])</f>
        <v>337</v>
      </c>
      <c r="F6" s="8">
        <f>tb_Resumo[[#This Row],[Qntd Entradas]]-tb_Resumo[[#This Row],[Qntd Saídas]]</f>
        <v>-174</v>
      </c>
      <c r="G6" s="9">
        <f>tb_Resumo[[#This Row],[Saldo Atual]]*tb_Resumo[[#This Row],[Preço]]</f>
        <v>-41880.06</v>
      </c>
      <c r="H6" s="8" t="str" cm="1">
        <f t="array" ref="H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7" spans="1:8" x14ac:dyDescent="0.25">
      <c r="A7" t="s">
        <v>80</v>
      </c>
      <c r="B7" t="str">
        <f>_xlfn.XLOOKUP(tb_Resumo[[#This Row],[SKU]], tb_Cadastro[SKU], tb_Cadastro[Categoria])</f>
        <v>Componentes</v>
      </c>
      <c r="C7" s="9">
        <f>_xlfn.XLOOKUP(tb_Resumo[[#This Row],[SKU]], tb_Cadastro[SKU], tb_Cadastro[Preço])</f>
        <v>658.98</v>
      </c>
      <c r="D7" s="8">
        <f>SUMIFS(tb_Entrada[Quantidade], tb_Entrada[SKU], tb_Resumo[[#This Row],[SKU]])</f>
        <v>45</v>
      </c>
      <c r="E7" s="8">
        <f>SUMIFS(tb_Saida[Quantidade], tb_Saida[SKU], tb_Resumo[[#This Row],[SKU]])</f>
        <v>205</v>
      </c>
      <c r="F7" s="8">
        <f>tb_Resumo[[#This Row],[Qntd Entradas]]-tb_Resumo[[#This Row],[Qntd Saídas]]</f>
        <v>-160</v>
      </c>
      <c r="G7" s="9">
        <f>tb_Resumo[[#This Row],[Saldo Atual]]*tb_Resumo[[#This Row],[Preço]]</f>
        <v>-105436.8</v>
      </c>
      <c r="H7" s="8" t="str" cm="1">
        <f t="array" ref="H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8" spans="1:8" x14ac:dyDescent="0.25">
      <c r="A8" t="s">
        <v>118</v>
      </c>
      <c r="B8" t="str">
        <f>_xlfn.XLOOKUP(tb_Resumo[[#This Row],[SKU]], tb_Cadastro[SKU], tb_Cadastro[Categoria])</f>
        <v>Periféricos</v>
      </c>
      <c r="C8" s="9">
        <f>_xlfn.XLOOKUP(tb_Resumo[[#This Row],[SKU]], tb_Cadastro[SKU], tb_Cadastro[Preço])</f>
        <v>580.80999999999995</v>
      </c>
      <c r="D8" s="8">
        <f>SUMIFS(tb_Entrada[Quantidade], tb_Entrada[SKU], tb_Resumo[[#This Row],[SKU]])</f>
        <v>73</v>
      </c>
      <c r="E8" s="8">
        <f>SUMIFS(tb_Saida[Quantidade], tb_Saida[SKU], tb_Resumo[[#This Row],[SKU]])</f>
        <v>180</v>
      </c>
      <c r="F8" s="8">
        <f>tb_Resumo[[#This Row],[Qntd Entradas]]-tb_Resumo[[#This Row],[Qntd Saídas]]</f>
        <v>-107</v>
      </c>
      <c r="G8" s="9">
        <f>tb_Resumo[[#This Row],[Saldo Atual]]*tb_Resumo[[#This Row],[Preço]]</f>
        <v>-62146.669999999991</v>
      </c>
      <c r="H8" s="8" t="str" cm="1">
        <f t="array" ref="H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9" spans="1:8" x14ac:dyDescent="0.25">
      <c r="A9" t="s">
        <v>117</v>
      </c>
      <c r="B9" t="str">
        <f>_xlfn.XLOOKUP(tb_Resumo[[#This Row],[SKU]], tb_Cadastro[SKU], tb_Cadastro[Categoria])</f>
        <v>Armazenamento</v>
      </c>
      <c r="C9" s="9">
        <f>_xlfn.XLOOKUP(tb_Resumo[[#This Row],[SKU]], tb_Cadastro[SKU], tb_Cadastro[Preço])</f>
        <v>383.87</v>
      </c>
      <c r="D9" s="8">
        <f>SUMIFS(tb_Entrada[Quantidade], tb_Entrada[SKU], tb_Resumo[[#This Row],[SKU]])</f>
        <v>174</v>
      </c>
      <c r="E9" s="8">
        <f>SUMIFS(tb_Saida[Quantidade], tb_Saida[SKU], tb_Resumo[[#This Row],[SKU]])</f>
        <v>281</v>
      </c>
      <c r="F9" s="8">
        <f>tb_Resumo[[#This Row],[Qntd Entradas]]-tb_Resumo[[#This Row],[Qntd Saídas]]</f>
        <v>-107</v>
      </c>
      <c r="G9" s="9">
        <f>tb_Resumo[[#This Row],[Saldo Atual]]*tb_Resumo[[#This Row],[Preço]]</f>
        <v>-41074.090000000004</v>
      </c>
      <c r="H9" s="8" t="str" cm="1">
        <f t="array" ref="H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0" spans="1:8" x14ac:dyDescent="0.25">
      <c r="A10" t="s">
        <v>142</v>
      </c>
      <c r="B10" t="str">
        <f>_xlfn.XLOOKUP(tb_Resumo[[#This Row],[SKU]], tb_Cadastro[SKU], tb_Cadastro[Categoria])</f>
        <v>Armazenamento</v>
      </c>
      <c r="C10" s="9">
        <f>_xlfn.XLOOKUP(tb_Resumo[[#This Row],[SKU]], tb_Cadastro[SKU], tb_Cadastro[Preço])</f>
        <v>124.79</v>
      </c>
      <c r="D10" s="8">
        <f>SUMIFS(tb_Entrada[Quantidade], tb_Entrada[SKU], tb_Resumo[[#This Row],[SKU]])</f>
        <v>0</v>
      </c>
      <c r="E10" s="8">
        <f>SUMIFS(tb_Saida[Quantidade], tb_Saida[SKU], tb_Resumo[[#This Row],[SKU]])</f>
        <v>99</v>
      </c>
      <c r="F10" s="8">
        <f>tb_Resumo[[#This Row],[Qntd Entradas]]-tb_Resumo[[#This Row],[Qntd Saídas]]</f>
        <v>-99</v>
      </c>
      <c r="G10" s="9">
        <f>tb_Resumo[[#This Row],[Saldo Atual]]*tb_Resumo[[#This Row],[Preço]]</f>
        <v>-12354.210000000001</v>
      </c>
      <c r="H10" s="8" t="str" cm="1">
        <f t="array" ref="H1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1" spans="1:8" x14ac:dyDescent="0.25">
      <c r="A11" t="s">
        <v>124</v>
      </c>
      <c r="B11" t="str">
        <f>_xlfn.XLOOKUP(tb_Resumo[[#This Row],[SKU]], tb_Cadastro[SKU], tb_Cadastro[Categoria])</f>
        <v>Acessórios</v>
      </c>
      <c r="C11" s="9">
        <f>_xlfn.XLOOKUP(tb_Resumo[[#This Row],[SKU]], tb_Cadastro[SKU], tb_Cadastro[Preço])</f>
        <v>334.38</v>
      </c>
      <c r="D11" s="8">
        <f>SUMIFS(tb_Entrada[Quantidade], tb_Entrada[SKU], tb_Resumo[[#This Row],[SKU]])</f>
        <v>222</v>
      </c>
      <c r="E11" s="8">
        <f>SUMIFS(tb_Saida[Quantidade], tb_Saida[SKU], tb_Resumo[[#This Row],[SKU]])</f>
        <v>297</v>
      </c>
      <c r="F11" s="8">
        <f>tb_Resumo[[#This Row],[Qntd Entradas]]-tb_Resumo[[#This Row],[Qntd Saídas]]</f>
        <v>-75</v>
      </c>
      <c r="G11" s="9">
        <f>tb_Resumo[[#This Row],[Saldo Atual]]*tb_Resumo[[#This Row],[Preço]]</f>
        <v>-25078.5</v>
      </c>
      <c r="H11" s="8" t="str" cm="1">
        <f t="array" ref="H1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2" spans="1:8" x14ac:dyDescent="0.25">
      <c r="A12" t="s">
        <v>56</v>
      </c>
      <c r="B12" t="str">
        <f>_xlfn.XLOOKUP(tb_Resumo[[#This Row],[SKU]], tb_Cadastro[SKU], tb_Cadastro[Categoria])</f>
        <v>Acessórios</v>
      </c>
      <c r="C12" s="9">
        <f>_xlfn.XLOOKUP(tb_Resumo[[#This Row],[SKU]], tb_Cadastro[SKU], tb_Cadastro[Preço])</f>
        <v>597.80999999999995</v>
      </c>
      <c r="D12" s="8">
        <f>SUMIFS(tb_Entrada[Quantidade], tb_Entrada[SKU], tb_Resumo[[#This Row],[SKU]])</f>
        <v>168</v>
      </c>
      <c r="E12" s="8">
        <f>SUMIFS(tb_Saida[Quantidade], tb_Saida[SKU], tb_Resumo[[#This Row],[SKU]])</f>
        <v>239</v>
      </c>
      <c r="F12" s="8">
        <f>tb_Resumo[[#This Row],[Qntd Entradas]]-tb_Resumo[[#This Row],[Qntd Saídas]]</f>
        <v>-71</v>
      </c>
      <c r="G12" s="9">
        <f>tb_Resumo[[#This Row],[Saldo Atual]]*tb_Resumo[[#This Row],[Preço]]</f>
        <v>-42444.509999999995</v>
      </c>
      <c r="H12" s="8" t="str" cm="1">
        <f t="array" ref="H1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3" spans="1:8" x14ac:dyDescent="0.25">
      <c r="A13" t="s">
        <v>138</v>
      </c>
      <c r="B13" t="str">
        <f>_xlfn.XLOOKUP(tb_Resumo[[#This Row],[SKU]], tb_Cadastro[SKU], tb_Cadastro[Categoria])</f>
        <v>Acessórios</v>
      </c>
      <c r="C13" s="9">
        <f>_xlfn.XLOOKUP(tb_Resumo[[#This Row],[SKU]], tb_Cadastro[SKU], tb_Cadastro[Preço])</f>
        <v>741.36</v>
      </c>
      <c r="D13" s="8">
        <f>SUMIFS(tb_Entrada[Quantidade], tb_Entrada[SKU], tb_Resumo[[#This Row],[SKU]])</f>
        <v>131</v>
      </c>
      <c r="E13" s="8">
        <f>SUMIFS(tb_Saida[Quantidade], tb_Saida[SKU], tb_Resumo[[#This Row],[SKU]])</f>
        <v>197</v>
      </c>
      <c r="F13" s="8">
        <f>tb_Resumo[[#This Row],[Qntd Entradas]]-tb_Resumo[[#This Row],[Qntd Saídas]]</f>
        <v>-66</v>
      </c>
      <c r="G13" s="9">
        <f>tb_Resumo[[#This Row],[Saldo Atual]]*tb_Resumo[[#This Row],[Preço]]</f>
        <v>-48929.760000000002</v>
      </c>
      <c r="H13" s="8" t="str" cm="1">
        <f t="array" ref="H1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4" spans="1:8" x14ac:dyDescent="0.25">
      <c r="A14" t="s">
        <v>72</v>
      </c>
      <c r="B14" t="str">
        <f>_xlfn.XLOOKUP(tb_Resumo[[#This Row],[SKU]], tb_Cadastro[SKU], tb_Cadastro[Categoria])</f>
        <v>Armazenamento</v>
      </c>
      <c r="C14" s="9">
        <f>_xlfn.XLOOKUP(tb_Resumo[[#This Row],[SKU]], tb_Cadastro[SKU], tb_Cadastro[Preço])</f>
        <v>503.07</v>
      </c>
      <c r="D14" s="8">
        <f>SUMIFS(tb_Entrada[Quantidade], tb_Entrada[SKU], tb_Resumo[[#This Row],[SKU]])</f>
        <v>209</v>
      </c>
      <c r="E14" s="8">
        <f>SUMIFS(tb_Saida[Quantidade], tb_Saida[SKU], tb_Resumo[[#This Row],[SKU]])</f>
        <v>273</v>
      </c>
      <c r="F14" s="8">
        <f>tb_Resumo[[#This Row],[Qntd Entradas]]-tb_Resumo[[#This Row],[Qntd Saídas]]</f>
        <v>-64</v>
      </c>
      <c r="G14" s="9">
        <f>tb_Resumo[[#This Row],[Saldo Atual]]*tb_Resumo[[#This Row],[Preço]]</f>
        <v>-32196.48</v>
      </c>
      <c r="H14" s="8" t="str" cm="1">
        <f t="array" ref="H1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5" spans="1:8" x14ac:dyDescent="0.25">
      <c r="A15" t="s">
        <v>130</v>
      </c>
      <c r="B15" t="str">
        <f>_xlfn.XLOOKUP(tb_Resumo[[#This Row],[SKU]], tb_Cadastro[SKU], tb_Cadastro[Categoria])</f>
        <v>Armazenamento</v>
      </c>
      <c r="C15" s="9">
        <f>_xlfn.XLOOKUP(tb_Resumo[[#This Row],[SKU]], tb_Cadastro[SKU], tb_Cadastro[Preço])</f>
        <v>365.28</v>
      </c>
      <c r="D15" s="8">
        <f>SUMIFS(tb_Entrada[Quantidade], tb_Entrada[SKU], tb_Resumo[[#This Row],[SKU]])</f>
        <v>80</v>
      </c>
      <c r="E15" s="8">
        <f>SUMIFS(tb_Saida[Quantidade], tb_Saida[SKU], tb_Resumo[[#This Row],[SKU]])</f>
        <v>139</v>
      </c>
      <c r="F15" s="8">
        <f>tb_Resumo[[#This Row],[Qntd Entradas]]-tb_Resumo[[#This Row],[Qntd Saídas]]</f>
        <v>-59</v>
      </c>
      <c r="G15" s="9">
        <f>tb_Resumo[[#This Row],[Saldo Atual]]*tb_Resumo[[#This Row],[Preço]]</f>
        <v>-21551.519999999997</v>
      </c>
      <c r="H15" s="8" t="str" cm="1">
        <f t="array" ref="H1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6" spans="1:8" x14ac:dyDescent="0.25">
      <c r="A16" t="s">
        <v>143</v>
      </c>
      <c r="B16" t="str">
        <f>_xlfn.XLOOKUP(tb_Resumo[[#This Row],[SKU]], tb_Cadastro[SKU], tb_Cadastro[Categoria])</f>
        <v>Acessórios</v>
      </c>
      <c r="C16" s="9">
        <f>_xlfn.XLOOKUP(tb_Resumo[[#This Row],[SKU]], tb_Cadastro[SKU], tb_Cadastro[Preço])</f>
        <v>912.84</v>
      </c>
      <c r="D16" s="8">
        <f>SUMIFS(tb_Entrada[Quantidade], tb_Entrada[SKU], tb_Resumo[[#This Row],[SKU]])</f>
        <v>0</v>
      </c>
      <c r="E16" s="8">
        <f>SUMIFS(tb_Saida[Quantidade], tb_Saida[SKU], tb_Resumo[[#This Row],[SKU]])</f>
        <v>51</v>
      </c>
      <c r="F16" s="8">
        <f>tb_Resumo[[#This Row],[Qntd Entradas]]-tb_Resumo[[#This Row],[Qntd Saídas]]</f>
        <v>-51</v>
      </c>
      <c r="G16" s="9">
        <f>tb_Resumo[[#This Row],[Saldo Atual]]*tb_Resumo[[#This Row],[Preço]]</f>
        <v>-46554.840000000004</v>
      </c>
      <c r="H16" s="8" t="str" cm="1">
        <f t="array" ref="H1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7" spans="1:8" x14ac:dyDescent="0.25">
      <c r="A17" t="s">
        <v>139</v>
      </c>
      <c r="B17" t="str">
        <f>_xlfn.XLOOKUP(tb_Resumo[[#This Row],[SKU]], tb_Cadastro[SKU], tb_Cadastro[Categoria])</f>
        <v>Imagem e Som</v>
      </c>
      <c r="C17" s="9">
        <f>_xlfn.XLOOKUP(tb_Resumo[[#This Row],[SKU]], tb_Cadastro[SKU], tb_Cadastro[Preço])</f>
        <v>379.85</v>
      </c>
      <c r="D17" s="8">
        <f>SUMIFS(tb_Entrada[Quantidade], tb_Entrada[SKU], tb_Resumo[[#This Row],[SKU]])</f>
        <v>129</v>
      </c>
      <c r="E17" s="8">
        <f>SUMIFS(tb_Saida[Quantidade], tb_Saida[SKU], tb_Resumo[[#This Row],[SKU]])</f>
        <v>176</v>
      </c>
      <c r="F17" s="8">
        <f>tb_Resumo[[#This Row],[Qntd Entradas]]-tb_Resumo[[#This Row],[Qntd Saídas]]</f>
        <v>-47</v>
      </c>
      <c r="G17" s="9">
        <f>tb_Resumo[[#This Row],[Saldo Atual]]*tb_Resumo[[#This Row],[Preço]]</f>
        <v>-17852.95</v>
      </c>
      <c r="H17" s="8" t="str" cm="1">
        <f t="array" ref="H1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8" spans="1:8" x14ac:dyDescent="0.25">
      <c r="A18" t="s">
        <v>94</v>
      </c>
      <c r="B18" t="str">
        <f>_xlfn.XLOOKUP(tb_Resumo[[#This Row],[SKU]], tb_Cadastro[SKU], tb_Cadastro[Categoria])</f>
        <v>Acessórios</v>
      </c>
      <c r="C18" s="9">
        <f>_xlfn.XLOOKUP(tb_Resumo[[#This Row],[SKU]], tb_Cadastro[SKU], tb_Cadastro[Preço])</f>
        <v>280.29000000000002</v>
      </c>
      <c r="D18" s="8">
        <f>SUMIFS(tb_Entrada[Quantidade], tb_Entrada[SKU], tb_Resumo[[#This Row],[SKU]])</f>
        <v>126</v>
      </c>
      <c r="E18" s="8">
        <f>SUMIFS(tb_Saida[Quantidade], tb_Saida[SKU], tb_Resumo[[#This Row],[SKU]])</f>
        <v>172</v>
      </c>
      <c r="F18" s="8">
        <f>tb_Resumo[[#This Row],[Qntd Entradas]]-tb_Resumo[[#This Row],[Qntd Saídas]]</f>
        <v>-46</v>
      </c>
      <c r="G18" s="9">
        <f>tb_Resumo[[#This Row],[Saldo Atual]]*tb_Resumo[[#This Row],[Preço]]</f>
        <v>-12893.34</v>
      </c>
      <c r="H18" s="8" t="str" cm="1">
        <f t="array" ref="H1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19" spans="1:8" x14ac:dyDescent="0.25">
      <c r="A19" t="s">
        <v>129</v>
      </c>
      <c r="B19" t="str">
        <f>_xlfn.XLOOKUP(tb_Resumo[[#This Row],[SKU]], tb_Cadastro[SKU], tb_Cadastro[Categoria])</f>
        <v>Redes</v>
      </c>
      <c r="C19" s="9">
        <f>_xlfn.XLOOKUP(tb_Resumo[[#This Row],[SKU]], tb_Cadastro[SKU], tb_Cadastro[Preço])</f>
        <v>966.44</v>
      </c>
      <c r="D19" s="8">
        <f>SUMIFS(tb_Entrada[Quantidade], tb_Entrada[SKU], tb_Resumo[[#This Row],[SKU]])</f>
        <v>222</v>
      </c>
      <c r="E19" s="8">
        <f>SUMIFS(tb_Saida[Quantidade], tb_Saida[SKU], tb_Resumo[[#This Row],[SKU]])</f>
        <v>261</v>
      </c>
      <c r="F19" s="8">
        <f>tb_Resumo[[#This Row],[Qntd Entradas]]-tb_Resumo[[#This Row],[Qntd Saídas]]</f>
        <v>-39</v>
      </c>
      <c r="G19" s="9">
        <f>tb_Resumo[[#This Row],[Saldo Atual]]*tb_Resumo[[#This Row],[Preço]]</f>
        <v>-37691.160000000003</v>
      </c>
      <c r="H19" s="8" t="str" cm="1">
        <f t="array" ref="H1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20" spans="1:8" x14ac:dyDescent="0.25">
      <c r="A20" t="s">
        <v>15</v>
      </c>
      <c r="B20" t="str">
        <f>_xlfn.XLOOKUP(tb_Resumo[[#This Row],[SKU]], tb_Cadastro[SKU], tb_Cadastro[Categoria])</f>
        <v>Hardware</v>
      </c>
      <c r="C20" s="9">
        <f>_xlfn.XLOOKUP(tb_Resumo[[#This Row],[SKU]], tb_Cadastro[SKU], tb_Cadastro[Preço])</f>
        <v>339.98</v>
      </c>
      <c r="D20" s="8">
        <f>SUMIFS(tb_Entrada[Quantidade], tb_Entrada[SKU], tb_Resumo[[#This Row],[SKU]])</f>
        <v>116</v>
      </c>
      <c r="E20" s="8">
        <f>SUMIFS(tb_Saida[Quantidade], tb_Saida[SKU], tb_Resumo[[#This Row],[SKU]])</f>
        <v>154</v>
      </c>
      <c r="F20" s="8">
        <f>tb_Resumo[[#This Row],[Qntd Entradas]]-tb_Resumo[[#This Row],[Qntd Saídas]]</f>
        <v>-38</v>
      </c>
      <c r="G20" s="9">
        <f>tb_Resumo[[#This Row],[Saldo Atual]]*tb_Resumo[[#This Row],[Preço]]</f>
        <v>-12919.240000000002</v>
      </c>
      <c r="H20" s="8" t="str" cm="1">
        <f t="array" ref="H2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21" spans="1:8" x14ac:dyDescent="0.25">
      <c r="A21" t="s">
        <v>123</v>
      </c>
      <c r="B21" t="str">
        <f>_xlfn.XLOOKUP(tb_Resumo[[#This Row],[SKU]], tb_Cadastro[SKU], tb_Cadastro[Categoria])</f>
        <v>Hardware</v>
      </c>
      <c r="C21" s="9">
        <f>_xlfn.XLOOKUP(tb_Resumo[[#This Row],[SKU]], tb_Cadastro[SKU], tb_Cadastro[Preço])</f>
        <v>950.93</v>
      </c>
      <c r="D21" s="8">
        <f>SUMIFS(tb_Entrada[Quantidade], tb_Entrada[SKU], tb_Resumo[[#This Row],[SKU]])</f>
        <v>190</v>
      </c>
      <c r="E21" s="8">
        <f>SUMIFS(tb_Saida[Quantidade], tb_Saida[SKU], tb_Resumo[[#This Row],[SKU]])</f>
        <v>213</v>
      </c>
      <c r="F21" s="8">
        <f>tb_Resumo[[#This Row],[Qntd Entradas]]-tb_Resumo[[#This Row],[Qntd Saídas]]</f>
        <v>-23</v>
      </c>
      <c r="G21" s="9">
        <f>tb_Resumo[[#This Row],[Saldo Atual]]*tb_Resumo[[#This Row],[Preço]]</f>
        <v>-21871.39</v>
      </c>
      <c r="H21" s="8" t="str" cm="1">
        <f t="array" ref="H2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22" spans="1:8" x14ac:dyDescent="0.25">
      <c r="A22" t="s">
        <v>32</v>
      </c>
      <c r="B22" t="str">
        <f>_xlfn.XLOOKUP(tb_Resumo[[#This Row],[SKU]], tb_Cadastro[SKU], tb_Cadastro[Categoria])</f>
        <v>Redes</v>
      </c>
      <c r="C22" s="9">
        <f>_xlfn.XLOOKUP(tb_Resumo[[#This Row],[SKU]], tb_Cadastro[SKU], tb_Cadastro[Preço])</f>
        <v>715.01</v>
      </c>
      <c r="D22" s="8">
        <f>SUMIFS(tb_Entrada[Quantidade], tb_Entrada[SKU], tb_Resumo[[#This Row],[SKU]])</f>
        <v>207</v>
      </c>
      <c r="E22" s="8">
        <f>SUMIFS(tb_Saida[Quantidade], tb_Saida[SKU], tb_Resumo[[#This Row],[SKU]])</f>
        <v>217</v>
      </c>
      <c r="F22" s="8">
        <f>tb_Resumo[[#This Row],[Qntd Entradas]]-tb_Resumo[[#This Row],[Qntd Saídas]]</f>
        <v>-10</v>
      </c>
      <c r="G22" s="9">
        <f>tb_Resumo[[#This Row],[Saldo Atual]]*tb_Resumo[[#This Row],[Preço]]</f>
        <v>-7150.1</v>
      </c>
      <c r="H22" s="8" t="str" cm="1">
        <f t="array" ref="H2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23" spans="1:8" x14ac:dyDescent="0.25">
      <c r="A23" t="s">
        <v>107</v>
      </c>
      <c r="B23" t="str">
        <f>_xlfn.XLOOKUP(tb_Resumo[[#This Row],[SKU]], tb_Cadastro[SKU], tb_Cadastro[Categoria])</f>
        <v>Imagem e Som</v>
      </c>
      <c r="C23" s="9">
        <f>_xlfn.XLOOKUP(tb_Resumo[[#This Row],[SKU]], tb_Cadastro[SKU], tb_Cadastro[Preço])</f>
        <v>270.27</v>
      </c>
      <c r="D23" s="8">
        <f>SUMIFS(tb_Entrada[Quantidade], tb_Entrada[SKU], tb_Resumo[[#This Row],[SKU]])</f>
        <v>67</v>
      </c>
      <c r="E23" s="8">
        <f>SUMIFS(tb_Saida[Quantidade], tb_Saida[SKU], tb_Resumo[[#This Row],[SKU]])</f>
        <v>74</v>
      </c>
      <c r="F23" s="8">
        <f>tb_Resumo[[#This Row],[Qntd Entradas]]-tb_Resumo[[#This Row],[Qntd Saídas]]</f>
        <v>-7</v>
      </c>
      <c r="G23" s="9">
        <f>tb_Resumo[[#This Row],[Saldo Atual]]*tb_Resumo[[#This Row],[Preço]]</f>
        <v>-1891.8899999999999</v>
      </c>
      <c r="H23" s="8" t="str" cm="1">
        <f t="array" ref="H2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Estoque Negativo</v>
      </c>
    </row>
    <row r="24" spans="1:8" x14ac:dyDescent="0.25">
      <c r="A24" t="s">
        <v>78</v>
      </c>
      <c r="B24" t="str">
        <f>_xlfn.XLOOKUP(tb_Resumo[[#This Row],[SKU]], tb_Cadastro[SKU], tb_Cadastro[Categoria])</f>
        <v>Componentes</v>
      </c>
      <c r="C24" s="9">
        <f>_xlfn.XLOOKUP(tb_Resumo[[#This Row],[SKU]], tb_Cadastro[SKU], tb_Cadastro[Preço])</f>
        <v>976.36</v>
      </c>
      <c r="D24" s="8">
        <f>SUMIFS(tb_Entrada[Quantidade], tb_Entrada[SKU], tb_Resumo[[#This Row],[SKU]])</f>
        <v>233</v>
      </c>
      <c r="E24" s="8">
        <f>SUMIFS(tb_Saida[Quantidade], tb_Saida[SKU], tb_Resumo[[#This Row],[SKU]])</f>
        <v>227</v>
      </c>
      <c r="F24" s="8">
        <f>tb_Resumo[[#This Row],[Qntd Entradas]]-tb_Resumo[[#This Row],[Qntd Saídas]]</f>
        <v>6</v>
      </c>
      <c r="G24" s="9">
        <f>tb_Resumo[[#This Row],[Saldo Atual]]*tb_Resumo[[#This Row],[Preço]]</f>
        <v>5858.16</v>
      </c>
      <c r="H24" s="8" t="str" cm="1">
        <f t="array" ref="H2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Crítico</v>
      </c>
    </row>
    <row r="25" spans="1:8" x14ac:dyDescent="0.25">
      <c r="A25" t="s">
        <v>29</v>
      </c>
      <c r="B25" t="str">
        <f>_xlfn.XLOOKUP(tb_Resumo[[#This Row],[SKU]], tb_Cadastro[SKU], tb_Cadastro[Categoria])</f>
        <v>Periféricos</v>
      </c>
      <c r="C25" s="9">
        <f>_xlfn.XLOOKUP(tb_Resumo[[#This Row],[SKU]], tb_Cadastro[SKU], tb_Cadastro[Preço])</f>
        <v>775.44</v>
      </c>
      <c r="D25" s="8">
        <f>SUMIFS(tb_Entrada[Quantidade], tb_Entrada[SKU], tb_Resumo[[#This Row],[SKU]])</f>
        <v>238</v>
      </c>
      <c r="E25" s="8">
        <f>SUMIFS(tb_Saida[Quantidade], tb_Saida[SKU], tb_Resumo[[#This Row],[SKU]])</f>
        <v>221</v>
      </c>
      <c r="F25" s="8">
        <f>tb_Resumo[[#This Row],[Qntd Entradas]]-tb_Resumo[[#This Row],[Qntd Saídas]]</f>
        <v>17</v>
      </c>
      <c r="G25" s="9">
        <f>tb_Resumo[[#This Row],[Saldo Atual]]*tb_Resumo[[#This Row],[Preço]]</f>
        <v>13182.480000000001</v>
      </c>
      <c r="H25" s="8" t="str" cm="1">
        <f t="array" ref="H2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Crítico</v>
      </c>
    </row>
    <row r="26" spans="1:8" x14ac:dyDescent="0.25">
      <c r="A26" t="s">
        <v>53</v>
      </c>
      <c r="B26" t="str">
        <f>_xlfn.XLOOKUP(tb_Resumo[[#This Row],[SKU]], tb_Cadastro[SKU], tb_Cadastro[Categoria])</f>
        <v>Armazenamento</v>
      </c>
      <c r="C26" s="9">
        <f>_xlfn.XLOOKUP(tb_Resumo[[#This Row],[SKU]], tb_Cadastro[SKU], tb_Cadastro[Preço])</f>
        <v>723.8</v>
      </c>
      <c r="D26" s="8">
        <f>SUMIFS(tb_Entrada[Quantidade], tb_Entrada[SKU], tb_Resumo[[#This Row],[SKU]])</f>
        <v>294</v>
      </c>
      <c r="E26" s="8">
        <f>SUMIFS(tb_Saida[Quantidade], tb_Saida[SKU], tb_Resumo[[#This Row],[SKU]])</f>
        <v>276</v>
      </c>
      <c r="F26" s="8">
        <f>tb_Resumo[[#This Row],[Qntd Entradas]]-tb_Resumo[[#This Row],[Qntd Saídas]]</f>
        <v>18</v>
      </c>
      <c r="G26" s="9">
        <f>tb_Resumo[[#This Row],[Saldo Atual]]*tb_Resumo[[#This Row],[Preço]]</f>
        <v>13028.4</v>
      </c>
      <c r="H26" s="8" t="str" cm="1">
        <f t="array" ref="H2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Crítico</v>
      </c>
    </row>
    <row r="27" spans="1:8" x14ac:dyDescent="0.25">
      <c r="A27" t="s">
        <v>108</v>
      </c>
      <c r="B27" t="str">
        <f>_xlfn.XLOOKUP(tb_Resumo[[#This Row],[SKU]], tb_Cadastro[SKU], tb_Cadastro[Categoria])</f>
        <v>Armazenamento</v>
      </c>
      <c r="C27" s="9">
        <f>_xlfn.XLOOKUP(tb_Resumo[[#This Row],[SKU]], tb_Cadastro[SKU], tb_Cadastro[Preço])</f>
        <v>285.57</v>
      </c>
      <c r="D27" s="8">
        <f>SUMIFS(tb_Entrada[Quantidade], tb_Entrada[SKU], tb_Resumo[[#This Row],[SKU]])</f>
        <v>304</v>
      </c>
      <c r="E27" s="8">
        <f>SUMIFS(tb_Saida[Quantidade], tb_Saida[SKU], tb_Resumo[[#This Row],[SKU]])</f>
        <v>283</v>
      </c>
      <c r="F27" s="8">
        <f>tb_Resumo[[#This Row],[Qntd Entradas]]-tb_Resumo[[#This Row],[Qntd Saídas]]</f>
        <v>21</v>
      </c>
      <c r="G27" s="9">
        <f>tb_Resumo[[#This Row],[Saldo Atual]]*tb_Resumo[[#This Row],[Preço]]</f>
        <v>5996.97</v>
      </c>
      <c r="H27" s="8" t="str" cm="1">
        <f t="array" ref="H2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28" spans="1:8" x14ac:dyDescent="0.25">
      <c r="A28" t="s">
        <v>136</v>
      </c>
      <c r="B28" t="str">
        <f>_xlfn.XLOOKUP(tb_Resumo[[#This Row],[SKU]], tb_Cadastro[SKU], tb_Cadastro[Categoria])</f>
        <v>Periféricos</v>
      </c>
      <c r="C28" s="9">
        <f>_xlfn.XLOOKUP(tb_Resumo[[#This Row],[SKU]], tb_Cadastro[SKU], tb_Cadastro[Preço])</f>
        <v>711.1</v>
      </c>
      <c r="D28" s="8">
        <f>SUMIFS(tb_Entrada[Quantidade], tb_Entrada[SKU], tb_Resumo[[#This Row],[SKU]])</f>
        <v>312</v>
      </c>
      <c r="E28" s="8">
        <f>SUMIFS(tb_Saida[Quantidade], tb_Saida[SKU], tb_Resumo[[#This Row],[SKU]])</f>
        <v>289</v>
      </c>
      <c r="F28" s="8">
        <f>tb_Resumo[[#This Row],[Qntd Entradas]]-tb_Resumo[[#This Row],[Qntd Saídas]]</f>
        <v>23</v>
      </c>
      <c r="G28" s="9">
        <f>tb_Resumo[[#This Row],[Saldo Atual]]*tb_Resumo[[#This Row],[Preço]]</f>
        <v>16355.300000000001</v>
      </c>
      <c r="H28" s="8" t="str" cm="1">
        <f t="array" ref="H2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29" spans="1:8" x14ac:dyDescent="0.25">
      <c r="A29" t="s">
        <v>112</v>
      </c>
      <c r="B29" t="str">
        <f>_xlfn.XLOOKUP(tb_Resumo[[#This Row],[SKU]], tb_Cadastro[SKU], tb_Cadastro[Categoria])</f>
        <v>Componentes</v>
      </c>
      <c r="C29" s="9">
        <f>_xlfn.XLOOKUP(tb_Resumo[[#This Row],[SKU]], tb_Cadastro[SKU], tb_Cadastro[Preço])</f>
        <v>877.23</v>
      </c>
      <c r="D29" s="8">
        <f>SUMIFS(tb_Entrada[Quantidade], tb_Entrada[SKU], tb_Resumo[[#This Row],[SKU]])</f>
        <v>258</v>
      </c>
      <c r="E29" s="8">
        <f>SUMIFS(tb_Saida[Quantidade], tb_Saida[SKU], tb_Resumo[[#This Row],[SKU]])</f>
        <v>231</v>
      </c>
      <c r="F29" s="8">
        <f>tb_Resumo[[#This Row],[Qntd Entradas]]-tb_Resumo[[#This Row],[Qntd Saídas]]</f>
        <v>27</v>
      </c>
      <c r="G29" s="9">
        <f>tb_Resumo[[#This Row],[Saldo Atual]]*tb_Resumo[[#This Row],[Preço]]</f>
        <v>23685.21</v>
      </c>
      <c r="H29" s="8" t="str" cm="1">
        <f t="array" ref="H2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0" spans="1:8" x14ac:dyDescent="0.25">
      <c r="A30" t="s">
        <v>34</v>
      </c>
      <c r="B30" t="str">
        <f>_xlfn.XLOOKUP(tb_Resumo[[#This Row],[SKU]], tb_Cadastro[SKU], tb_Cadastro[Categoria])</f>
        <v>Hardware</v>
      </c>
      <c r="C30" s="9">
        <f>_xlfn.XLOOKUP(tb_Resumo[[#This Row],[SKU]], tb_Cadastro[SKU], tb_Cadastro[Preço])</f>
        <v>756.15</v>
      </c>
      <c r="D30" s="8">
        <f>SUMIFS(tb_Entrada[Quantidade], tb_Entrada[SKU], tb_Resumo[[#This Row],[SKU]])</f>
        <v>277</v>
      </c>
      <c r="E30" s="8">
        <f>SUMIFS(tb_Saida[Quantidade], tb_Saida[SKU], tb_Resumo[[#This Row],[SKU]])</f>
        <v>241</v>
      </c>
      <c r="F30" s="8">
        <f>tb_Resumo[[#This Row],[Qntd Entradas]]-tb_Resumo[[#This Row],[Qntd Saídas]]</f>
        <v>36</v>
      </c>
      <c r="G30" s="9">
        <f>tb_Resumo[[#This Row],[Saldo Atual]]*tb_Resumo[[#This Row],[Preço]]</f>
        <v>27221.399999999998</v>
      </c>
      <c r="H30" s="8" t="str" cm="1">
        <f t="array" ref="H3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1" spans="1:8" x14ac:dyDescent="0.25">
      <c r="A31" t="s">
        <v>36</v>
      </c>
      <c r="B31" t="str">
        <f>_xlfn.XLOOKUP(tb_Resumo[[#This Row],[SKU]], tb_Cadastro[SKU], tb_Cadastro[Categoria])</f>
        <v>Redes</v>
      </c>
      <c r="C31" s="9">
        <f>_xlfn.XLOOKUP(tb_Resumo[[#This Row],[SKU]], tb_Cadastro[SKU], tb_Cadastro[Preço])</f>
        <v>491.38</v>
      </c>
      <c r="D31" s="8">
        <f>SUMIFS(tb_Entrada[Quantidade], tb_Entrada[SKU], tb_Resumo[[#This Row],[SKU]])</f>
        <v>267</v>
      </c>
      <c r="E31" s="8">
        <f>SUMIFS(tb_Saida[Quantidade], tb_Saida[SKU], tb_Resumo[[#This Row],[SKU]])</f>
        <v>224</v>
      </c>
      <c r="F31" s="8">
        <f>tb_Resumo[[#This Row],[Qntd Entradas]]-tb_Resumo[[#This Row],[Qntd Saídas]]</f>
        <v>43</v>
      </c>
      <c r="G31" s="9">
        <f>tb_Resumo[[#This Row],[Saldo Atual]]*tb_Resumo[[#This Row],[Preço]]</f>
        <v>21129.34</v>
      </c>
      <c r="H31" s="8" t="str" cm="1">
        <f t="array" ref="H3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2" spans="1:8" x14ac:dyDescent="0.25">
      <c r="A32" t="s">
        <v>98</v>
      </c>
      <c r="B32" t="str">
        <f>_xlfn.XLOOKUP(tb_Resumo[[#This Row],[SKU]], tb_Cadastro[SKU], tb_Cadastro[Categoria])</f>
        <v>Hardware</v>
      </c>
      <c r="C32" s="9">
        <f>_xlfn.XLOOKUP(tb_Resumo[[#This Row],[SKU]], tb_Cadastro[SKU], tb_Cadastro[Preço])</f>
        <v>381.51</v>
      </c>
      <c r="D32" s="8">
        <f>SUMIFS(tb_Entrada[Quantidade], tb_Entrada[SKU], tb_Resumo[[#This Row],[SKU]])</f>
        <v>104</v>
      </c>
      <c r="E32" s="8">
        <f>SUMIFS(tb_Saida[Quantidade], tb_Saida[SKU], tb_Resumo[[#This Row],[SKU]])</f>
        <v>57</v>
      </c>
      <c r="F32" s="8">
        <f>tb_Resumo[[#This Row],[Qntd Entradas]]-tb_Resumo[[#This Row],[Qntd Saídas]]</f>
        <v>47</v>
      </c>
      <c r="G32" s="9">
        <f>tb_Resumo[[#This Row],[Saldo Atual]]*tb_Resumo[[#This Row],[Preço]]</f>
        <v>17930.97</v>
      </c>
      <c r="H32" s="8" t="str" cm="1">
        <f t="array" ref="H3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3" spans="1:8" x14ac:dyDescent="0.25">
      <c r="A33" t="s">
        <v>14</v>
      </c>
      <c r="B33" t="str">
        <f>_xlfn.XLOOKUP(tb_Resumo[[#This Row],[SKU]], tb_Cadastro[SKU], tb_Cadastro[Categoria])</f>
        <v>Periféricos</v>
      </c>
      <c r="C33" s="9">
        <f>_xlfn.XLOOKUP(tb_Resumo[[#This Row],[SKU]], tb_Cadastro[SKU], tb_Cadastro[Preço])</f>
        <v>107.76</v>
      </c>
      <c r="D33" s="8">
        <f>SUMIFS(tb_Entrada[Quantidade], tb_Entrada[SKU], tb_Resumo[[#This Row],[SKU]])</f>
        <v>264</v>
      </c>
      <c r="E33" s="8">
        <f>SUMIFS(tb_Saida[Quantidade], tb_Saida[SKU], tb_Resumo[[#This Row],[SKU]])</f>
        <v>217</v>
      </c>
      <c r="F33" s="8">
        <f>tb_Resumo[[#This Row],[Qntd Entradas]]-tb_Resumo[[#This Row],[Qntd Saídas]]</f>
        <v>47</v>
      </c>
      <c r="G33" s="9">
        <f>tb_Resumo[[#This Row],[Saldo Atual]]*tb_Resumo[[#This Row],[Preço]]</f>
        <v>5064.72</v>
      </c>
      <c r="H33" s="8" t="str" cm="1">
        <f t="array" ref="H3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4" spans="1:8" x14ac:dyDescent="0.25">
      <c r="A34" t="s">
        <v>127</v>
      </c>
      <c r="B34" t="str">
        <f>_xlfn.XLOOKUP(tb_Resumo[[#This Row],[SKU]], tb_Cadastro[SKU], tb_Cadastro[Categoria])</f>
        <v>Armazenamento</v>
      </c>
      <c r="C34" s="9">
        <f>_xlfn.XLOOKUP(tb_Resumo[[#This Row],[SKU]], tb_Cadastro[SKU], tb_Cadastro[Preço])</f>
        <v>347.43</v>
      </c>
      <c r="D34" s="8">
        <f>SUMIFS(tb_Entrada[Quantidade], tb_Entrada[SKU], tb_Resumo[[#This Row],[SKU]])</f>
        <v>218</v>
      </c>
      <c r="E34" s="8">
        <f>SUMIFS(tb_Saida[Quantidade], tb_Saida[SKU], tb_Resumo[[#This Row],[SKU]])</f>
        <v>165</v>
      </c>
      <c r="F34" s="8">
        <f>tb_Resumo[[#This Row],[Qntd Entradas]]-tb_Resumo[[#This Row],[Qntd Saídas]]</f>
        <v>53</v>
      </c>
      <c r="G34" s="9">
        <f>tb_Resumo[[#This Row],[Saldo Atual]]*tb_Resumo[[#This Row],[Preço]]</f>
        <v>18413.79</v>
      </c>
      <c r="H34" s="8" t="str" cm="1">
        <f t="array" ref="H3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5" spans="1:8" x14ac:dyDescent="0.25">
      <c r="A35" t="s">
        <v>9</v>
      </c>
      <c r="B35" t="str">
        <f>_xlfn.XLOOKUP(tb_Resumo[[#This Row],[SKU]], tb_Cadastro[SKU], tb_Cadastro[Categoria])</f>
        <v>Armazenamento</v>
      </c>
      <c r="C35" s="9">
        <f>_xlfn.XLOOKUP(tb_Resumo[[#This Row],[SKU]], tb_Cadastro[SKU], tb_Cadastro[Preço])</f>
        <v>577.42999999999995</v>
      </c>
      <c r="D35" s="8">
        <f>SUMIFS(tb_Entrada[Quantidade], tb_Entrada[SKU], tb_Resumo[[#This Row],[SKU]])</f>
        <v>298</v>
      </c>
      <c r="E35" s="8">
        <f>SUMIFS(tb_Saida[Quantidade], tb_Saida[SKU], tb_Resumo[[#This Row],[SKU]])</f>
        <v>244</v>
      </c>
      <c r="F35" s="8">
        <f>tb_Resumo[[#This Row],[Qntd Entradas]]-tb_Resumo[[#This Row],[Qntd Saídas]]</f>
        <v>54</v>
      </c>
      <c r="G35" s="9">
        <f>tb_Resumo[[#This Row],[Saldo Atual]]*tb_Resumo[[#This Row],[Preço]]</f>
        <v>31181.219999999998</v>
      </c>
      <c r="H35" s="8" t="str" cm="1">
        <f t="array" ref="H3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6" spans="1:8" x14ac:dyDescent="0.25">
      <c r="A36" t="s">
        <v>23</v>
      </c>
      <c r="B36" t="str">
        <f>_xlfn.XLOOKUP(tb_Resumo[[#This Row],[SKU]], tb_Cadastro[SKU], tb_Cadastro[Categoria])</f>
        <v>Acessórios</v>
      </c>
      <c r="C36" s="9">
        <f>_xlfn.XLOOKUP(tb_Resumo[[#This Row],[SKU]], tb_Cadastro[SKU], tb_Cadastro[Preço])</f>
        <v>120.79</v>
      </c>
      <c r="D36" s="8">
        <f>SUMIFS(tb_Entrada[Quantidade], tb_Entrada[SKU], tb_Resumo[[#This Row],[SKU]])</f>
        <v>252</v>
      </c>
      <c r="E36" s="8">
        <f>SUMIFS(tb_Saida[Quantidade], tb_Saida[SKU], tb_Resumo[[#This Row],[SKU]])</f>
        <v>194</v>
      </c>
      <c r="F36" s="8">
        <f>tb_Resumo[[#This Row],[Qntd Entradas]]-tb_Resumo[[#This Row],[Qntd Saídas]]</f>
        <v>58</v>
      </c>
      <c r="G36" s="9">
        <f>tb_Resumo[[#This Row],[Saldo Atual]]*tb_Resumo[[#This Row],[Preço]]</f>
        <v>7005.8200000000006</v>
      </c>
      <c r="H36" s="8" t="str" cm="1">
        <f t="array" ref="H3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7" spans="1:8" x14ac:dyDescent="0.25">
      <c r="A37" t="s">
        <v>120</v>
      </c>
      <c r="B37" t="str">
        <f>_xlfn.XLOOKUP(tb_Resumo[[#This Row],[SKU]], tb_Cadastro[SKU], tb_Cadastro[Categoria])</f>
        <v>Acessórios</v>
      </c>
      <c r="C37" s="9">
        <f>_xlfn.XLOOKUP(tb_Resumo[[#This Row],[SKU]], tb_Cadastro[SKU], tb_Cadastro[Preço])</f>
        <v>653.64</v>
      </c>
      <c r="D37" s="8">
        <f>SUMIFS(tb_Entrada[Quantidade], tb_Entrada[SKU], tb_Resumo[[#This Row],[SKU]])</f>
        <v>241</v>
      </c>
      <c r="E37" s="8">
        <f>SUMIFS(tb_Saida[Quantidade], tb_Saida[SKU], tb_Resumo[[#This Row],[SKU]])</f>
        <v>183</v>
      </c>
      <c r="F37" s="8">
        <f>tb_Resumo[[#This Row],[Qntd Entradas]]-tb_Resumo[[#This Row],[Qntd Saídas]]</f>
        <v>58</v>
      </c>
      <c r="G37" s="9">
        <f>tb_Resumo[[#This Row],[Saldo Atual]]*tb_Resumo[[#This Row],[Preço]]</f>
        <v>37911.120000000003</v>
      </c>
      <c r="H37" s="8" t="str" cm="1">
        <f t="array" ref="H3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8" spans="1:8" x14ac:dyDescent="0.25">
      <c r="A38" t="s">
        <v>17</v>
      </c>
      <c r="B38" t="str">
        <f>_xlfn.XLOOKUP(tb_Resumo[[#This Row],[SKU]], tb_Cadastro[SKU], tb_Cadastro[Categoria])</f>
        <v>Componentes</v>
      </c>
      <c r="C38" s="9">
        <f>_xlfn.XLOOKUP(tb_Resumo[[#This Row],[SKU]], tb_Cadastro[SKU], tb_Cadastro[Preço])</f>
        <v>820.78</v>
      </c>
      <c r="D38" s="8">
        <f>SUMIFS(tb_Entrada[Quantidade], tb_Entrada[SKU], tb_Resumo[[#This Row],[SKU]])</f>
        <v>406</v>
      </c>
      <c r="E38" s="8">
        <f>SUMIFS(tb_Saida[Quantidade], tb_Saida[SKU], tb_Resumo[[#This Row],[SKU]])</f>
        <v>346</v>
      </c>
      <c r="F38" s="8">
        <f>tb_Resumo[[#This Row],[Qntd Entradas]]-tb_Resumo[[#This Row],[Qntd Saídas]]</f>
        <v>60</v>
      </c>
      <c r="G38" s="9">
        <f>tb_Resumo[[#This Row],[Saldo Atual]]*tb_Resumo[[#This Row],[Preço]]</f>
        <v>49246.799999999996</v>
      </c>
      <c r="H38" s="8" t="str" cm="1">
        <f t="array" ref="H3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39" spans="1:8" x14ac:dyDescent="0.25">
      <c r="A39" t="s">
        <v>128</v>
      </c>
      <c r="B39" t="str">
        <f>_xlfn.XLOOKUP(tb_Resumo[[#This Row],[SKU]], tb_Cadastro[SKU], tb_Cadastro[Categoria])</f>
        <v>Periféricos</v>
      </c>
      <c r="C39" s="9">
        <f>_xlfn.XLOOKUP(tb_Resumo[[#This Row],[SKU]], tb_Cadastro[SKU], tb_Cadastro[Preço])</f>
        <v>811.47</v>
      </c>
      <c r="D39" s="8">
        <f>SUMIFS(tb_Entrada[Quantidade], tb_Entrada[SKU], tb_Resumo[[#This Row],[SKU]])</f>
        <v>257</v>
      </c>
      <c r="E39" s="8">
        <f>SUMIFS(tb_Saida[Quantidade], tb_Saida[SKU], tb_Resumo[[#This Row],[SKU]])</f>
        <v>196</v>
      </c>
      <c r="F39" s="8">
        <f>tb_Resumo[[#This Row],[Qntd Entradas]]-tb_Resumo[[#This Row],[Qntd Saídas]]</f>
        <v>61</v>
      </c>
      <c r="G39" s="9">
        <f>tb_Resumo[[#This Row],[Saldo Atual]]*tb_Resumo[[#This Row],[Preço]]</f>
        <v>49499.67</v>
      </c>
      <c r="H39" s="8" t="str" cm="1">
        <f t="array" ref="H3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0" spans="1:8" x14ac:dyDescent="0.25">
      <c r="A40" t="s">
        <v>54</v>
      </c>
      <c r="B40" t="str">
        <f>_xlfn.XLOOKUP(tb_Resumo[[#This Row],[SKU]], tb_Cadastro[SKU], tb_Cadastro[Categoria])</f>
        <v>Periféricos</v>
      </c>
      <c r="C40" s="9">
        <f>_xlfn.XLOOKUP(tb_Resumo[[#This Row],[SKU]], tb_Cadastro[SKU], tb_Cadastro[Preço])</f>
        <v>188.17</v>
      </c>
      <c r="D40" s="8">
        <f>SUMIFS(tb_Entrada[Quantidade], tb_Entrada[SKU], tb_Resumo[[#This Row],[SKU]])</f>
        <v>169</v>
      </c>
      <c r="E40" s="8">
        <f>SUMIFS(tb_Saida[Quantidade], tb_Saida[SKU], tb_Resumo[[#This Row],[SKU]])</f>
        <v>107</v>
      </c>
      <c r="F40" s="8">
        <f>tb_Resumo[[#This Row],[Qntd Entradas]]-tb_Resumo[[#This Row],[Qntd Saídas]]</f>
        <v>62</v>
      </c>
      <c r="G40" s="9">
        <f>tb_Resumo[[#This Row],[Saldo Atual]]*tb_Resumo[[#This Row],[Preço]]</f>
        <v>11666.539999999999</v>
      </c>
      <c r="H40" s="8" t="str" cm="1">
        <f t="array" ref="H4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1" spans="1:8" x14ac:dyDescent="0.25">
      <c r="A41" t="s">
        <v>86</v>
      </c>
      <c r="B41" t="str">
        <f>_xlfn.XLOOKUP(tb_Resumo[[#This Row],[SKU]], tb_Cadastro[SKU], tb_Cadastro[Categoria])</f>
        <v>Imagem e Som</v>
      </c>
      <c r="C41" s="9">
        <f>_xlfn.XLOOKUP(tb_Resumo[[#This Row],[SKU]], tb_Cadastro[SKU], tb_Cadastro[Preço])</f>
        <v>418.89</v>
      </c>
      <c r="D41" s="8">
        <f>SUMIFS(tb_Entrada[Quantidade], tb_Entrada[SKU], tb_Resumo[[#This Row],[SKU]])</f>
        <v>196</v>
      </c>
      <c r="E41" s="8">
        <f>SUMIFS(tb_Saida[Quantidade], tb_Saida[SKU], tb_Resumo[[#This Row],[SKU]])</f>
        <v>132</v>
      </c>
      <c r="F41" s="8">
        <f>tb_Resumo[[#This Row],[Qntd Entradas]]-tb_Resumo[[#This Row],[Qntd Saídas]]</f>
        <v>64</v>
      </c>
      <c r="G41" s="9">
        <f>tb_Resumo[[#This Row],[Saldo Atual]]*tb_Resumo[[#This Row],[Preço]]</f>
        <v>26808.959999999999</v>
      </c>
      <c r="H41" s="8" t="str" cm="1">
        <f t="array" ref="H4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2" spans="1:8" x14ac:dyDescent="0.25">
      <c r="A42" t="s">
        <v>135</v>
      </c>
      <c r="B42" t="str">
        <f>_xlfn.XLOOKUP(tb_Resumo[[#This Row],[SKU]], tb_Cadastro[SKU], tb_Cadastro[Categoria])</f>
        <v>Armazenamento</v>
      </c>
      <c r="C42" s="9">
        <f>_xlfn.XLOOKUP(tb_Resumo[[#This Row],[SKU]], tb_Cadastro[SKU], tb_Cadastro[Preço])</f>
        <v>167.32</v>
      </c>
      <c r="D42" s="8">
        <f>SUMIFS(tb_Entrada[Quantidade], tb_Entrada[SKU], tb_Resumo[[#This Row],[SKU]])</f>
        <v>211</v>
      </c>
      <c r="E42" s="8">
        <f>SUMIFS(tb_Saida[Quantidade], tb_Saida[SKU], tb_Resumo[[#This Row],[SKU]])</f>
        <v>135</v>
      </c>
      <c r="F42" s="8">
        <f>tb_Resumo[[#This Row],[Qntd Entradas]]-tb_Resumo[[#This Row],[Qntd Saídas]]</f>
        <v>76</v>
      </c>
      <c r="G42" s="9">
        <f>tb_Resumo[[#This Row],[Saldo Atual]]*tb_Resumo[[#This Row],[Preço]]</f>
        <v>12716.32</v>
      </c>
      <c r="H42" s="8" t="str" cm="1">
        <f t="array" ref="H4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3" spans="1:8" x14ac:dyDescent="0.25">
      <c r="A43" t="s">
        <v>125</v>
      </c>
      <c r="B43" t="str">
        <f>_xlfn.XLOOKUP(tb_Resumo[[#This Row],[SKU]], tb_Cadastro[SKU], tb_Cadastro[Categoria])</f>
        <v>Periféricos</v>
      </c>
      <c r="C43" s="9">
        <f>_xlfn.XLOOKUP(tb_Resumo[[#This Row],[SKU]], tb_Cadastro[SKU], tb_Cadastro[Preço])</f>
        <v>938.68</v>
      </c>
      <c r="D43" s="8">
        <f>SUMIFS(tb_Entrada[Quantidade], tb_Entrada[SKU], tb_Resumo[[#This Row],[SKU]])</f>
        <v>171</v>
      </c>
      <c r="E43" s="8">
        <f>SUMIFS(tb_Saida[Quantidade], tb_Saida[SKU], tb_Resumo[[#This Row],[SKU]])</f>
        <v>88</v>
      </c>
      <c r="F43" s="8">
        <f>tb_Resumo[[#This Row],[Qntd Entradas]]-tb_Resumo[[#This Row],[Qntd Saídas]]</f>
        <v>83</v>
      </c>
      <c r="G43" s="9">
        <f>tb_Resumo[[#This Row],[Saldo Atual]]*tb_Resumo[[#This Row],[Preço]]</f>
        <v>77910.44</v>
      </c>
      <c r="H43" s="8" t="str" cm="1">
        <f t="array" ref="H4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4" spans="1:8" x14ac:dyDescent="0.25">
      <c r="A44" t="s">
        <v>102</v>
      </c>
      <c r="B44" t="str">
        <f>_xlfn.XLOOKUP(tb_Resumo[[#This Row],[SKU]], tb_Cadastro[SKU], tb_Cadastro[Categoria])</f>
        <v>Hardware</v>
      </c>
      <c r="C44" s="9">
        <f>_xlfn.XLOOKUP(tb_Resumo[[#This Row],[SKU]], tb_Cadastro[SKU], tb_Cadastro[Preço])</f>
        <v>927.57</v>
      </c>
      <c r="D44" s="8">
        <f>SUMIFS(tb_Entrada[Quantidade], tb_Entrada[SKU], tb_Resumo[[#This Row],[SKU]])</f>
        <v>203</v>
      </c>
      <c r="E44" s="8">
        <f>SUMIFS(tb_Saida[Quantidade], tb_Saida[SKU], tb_Resumo[[#This Row],[SKU]])</f>
        <v>118</v>
      </c>
      <c r="F44" s="8">
        <f>tb_Resumo[[#This Row],[Qntd Entradas]]-tb_Resumo[[#This Row],[Qntd Saídas]]</f>
        <v>85</v>
      </c>
      <c r="G44" s="9">
        <f>tb_Resumo[[#This Row],[Saldo Atual]]*tb_Resumo[[#This Row],[Preço]]</f>
        <v>78843.45</v>
      </c>
      <c r="H44" s="8" t="str" cm="1">
        <f t="array" ref="H4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5" spans="1:8" x14ac:dyDescent="0.25">
      <c r="A45" t="s">
        <v>10</v>
      </c>
      <c r="B45" t="str">
        <f>_xlfn.XLOOKUP(tb_Resumo[[#This Row],[SKU]], tb_Cadastro[SKU], tb_Cadastro[Categoria])</f>
        <v>Redes</v>
      </c>
      <c r="C45" s="9">
        <f>_xlfn.XLOOKUP(tb_Resumo[[#This Row],[SKU]], tb_Cadastro[SKU], tb_Cadastro[Preço])</f>
        <v>101.03</v>
      </c>
      <c r="D45" s="8">
        <f>SUMIFS(tb_Entrada[Quantidade], tb_Entrada[SKU], tb_Resumo[[#This Row],[SKU]])</f>
        <v>266</v>
      </c>
      <c r="E45" s="8">
        <f>SUMIFS(tb_Saida[Quantidade], tb_Saida[SKU], tb_Resumo[[#This Row],[SKU]])</f>
        <v>180</v>
      </c>
      <c r="F45" s="8">
        <f>tb_Resumo[[#This Row],[Qntd Entradas]]-tb_Resumo[[#This Row],[Qntd Saídas]]</f>
        <v>86</v>
      </c>
      <c r="G45" s="9">
        <f>tb_Resumo[[#This Row],[Saldo Atual]]*tb_Resumo[[#This Row],[Preço]]</f>
        <v>8688.58</v>
      </c>
      <c r="H45" s="8" t="str" cm="1">
        <f t="array" ref="H4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6" spans="1:8" x14ac:dyDescent="0.25">
      <c r="A46" t="s">
        <v>70</v>
      </c>
      <c r="B46" t="str">
        <f>_xlfn.XLOOKUP(tb_Resumo[[#This Row],[SKU]], tb_Cadastro[SKU], tb_Cadastro[Categoria])</f>
        <v>Periféricos</v>
      </c>
      <c r="C46" s="9">
        <f>_xlfn.XLOOKUP(tb_Resumo[[#This Row],[SKU]], tb_Cadastro[SKU], tb_Cadastro[Preço])</f>
        <v>523.33000000000004</v>
      </c>
      <c r="D46" s="8">
        <f>SUMIFS(tb_Entrada[Quantidade], tb_Entrada[SKU], tb_Resumo[[#This Row],[SKU]])</f>
        <v>291</v>
      </c>
      <c r="E46" s="8">
        <f>SUMIFS(tb_Saida[Quantidade], tb_Saida[SKU], tb_Resumo[[#This Row],[SKU]])</f>
        <v>198</v>
      </c>
      <c r="F46" s="8">
        <f>tb_Resumo[[#This Row],[Qntd Entradas]]-tb_Resumo[[#This Row],[Qntd Saídas]]</f>
        <v>93</v>
      </c>
      <c r="G46" s="9">
        <f>tb_Resumo[[#This Row],[Saldo Atual]]*tb_Resumo[[#This Row],[Preço]]</f>
        <v>48669.69</v>
      </c>
      <c r="H46" s="8" t="str" cm="1">
        <f t="array" ref="H4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Ok</v>
      </c>
    </row>
    <row r="47" spans="1:8" x14ac:dyDescent="0.25">
      <c r="A47" t="s">
        <v>65</v>
      </c>
      <c r="B47" t="str">
        <f>_xlfn.XLOOKUP(tb_Resumo[[#This Row],[SKU]], tb_Cadastro[SKU], tb_Cadastro[Categoria])</f>
        <v>Imagem e Som</v>
      </c>
      <c r="C47" s="9">
        <f>_xlfn.XLOOKUP(tb_Resumo[[#This Row],[SKU]], tb_Cadastro[SKU], tb_Cadastro[Preço])</f>
        <v>395.54</v>
      </c>
      <c r="D47" s="8">
        <f>SUMIFS(tb_Entrada[Quantidade], tb_Entrada[SKU], tb_Resumo[[#This Row],[SKU]])</f>
        <v>262</v>
      </c>
      <c r="E47" s="8">
        <f>SUMIFS(tb_Saida[Quantidade], tb_Saida[SKU], tb_Resumo[[#This Row],[SKU]])</f>
        <v>161</v>
      </c>
      <c r="F47" s="8">
        <f>tb_Resumo[[#This Row],[Qntd Entradas]]-tb_Resumo[[#This Row],[Qntd Saídas]]</f>
        <v>101</v>
      </c>
      <c r="G47" s="9">
        <f>tb_Resumo[[#This Row],[Saldo Atual]]*tb_Resumo[[#This Row],[Preço]]</f>
        <v>39949.54</v>
      </c>
      <c r="H47" s="8" t="str" cm="1">
        <f t="array" ref="H4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48" spans="1:8" x14ac:dyDescent="0.25">
      <c r="A48" t="s">
        <v>74</v>
      </c>
      <c r="B48" t="str">
        <f>_xlfn.XLOOKUP(tb_Resumo[[#This Row],[SKU]], tb_Cadastro[SKU], tb_Cadastro[Categoria])</f>
        <v>Hardware</v>
      </c>
      <c r="C48" s="9">
        <f>_xlfn.XLOOKUP(tb_Resumo[[#This Row],[SKU]], tb_Cadastro[SKU], tb_Cadastro[Preço])</f>
        <v>188.01</v>
      </c>
      <c r="D48" s="8">
        <f>SUMIFS(tb_Entrada[Quantidade], tb_Entrada[SKU], tb_Resumo[[#This Row],[SKU]])</f>
        <v>310</v>
      </c>
      <c r="E48" s="8">
        <f>SUMIFS(tb_Saida[Quantidade], tb_Saida[SKU], tb_Resumo[[#This Row],[SKU]])</f>
        <v>207</v>
      </c>
      <c r="F48" s="8">
        <f>tb_Resumo[[#This Row],[Qntd Entradas]]-tb_Resumo[[#This Row],[Qntd Saídas]]</f>
        <v>103</v>
      </c>
      <c r="G48" s="9">
        <f>tb_Resumo[[#This Row],[Saldo Atual]]*tb_Resumo[[#This Row],[Preço]]</f>
        <v>19365.03</v>
      </c>
      <c r="H48" s="8" t="str" cm="1">
        <f t="array" ref="H4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49" spans="1:8" x14ac:dyDescent="0.25">
      <c r="A49" t="s">
        <v>81</v>
      </c>
      <c r="B49" t="str">
        <f>_xlfn.XLOOKUP(tb_Resumo[[#This Row],[SKU]], tb_Cadastro[SKU], tb_Cadastro[Categoria])</f>
        <v>Redes</v>
      </c>
      <c r="C49" s="9">
        <f>_xlfn.XLOOKUP(tb_Resumo[[#This Row],[SKU]], tb_Cadastro[SKU], tb_Cadastro[Preço])</f>
        <v>584.16999999999996</v>
      </c>
      <c r="D49" s="8">
        <f>SUMIFS(tb_Entrada[Quantidade], tb_Entrada[SKU], tb_Resumo[[#This Row],[SKU]])</f>
        <v>354</v>
      </c>
      <c r="E49" s="8">
        <f>SUMIFS(tb_Saida[Quantidade], tb_Saida[SKU], tb_Resumo[[#This Row],[SKU]])</f>
        <v>238</v>
      </c>
      <c r="F49" s="8">
        <f>tb_Resumo[[#This Row],[Qntd Entradas]]-tb_Resumo[[#This Row],[Qntd Saídas]]</f>
        <v>116</v>
      </c>
      <c r="G49" s="9">
        <f>tb_Resumo[[#This Row],[Saldo Atual]]*tb_Resumo[[#This Row],[Preço]]</f>
        <v>67763.72</v>
      </c>
      <c r="H49" s="8" t="str" cm="1">
        <f t="array" ref="H4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0" spans="1:8" x14ac:dyDescent="0.25">
      <c r="A50" t="s">
        <v>27</v>
      </c>
      <c r="B50" t="str">
        <f>_xlfn.XLOOKUP(tb_Resumo[[#This Row],[SKU]], tb_Cadastro[SKU], tb_Cadastro[Categoria])</f>
        <v>Armazenamento</v>
      </c>
      <c r="C50" s="9">
        <f>_xlfn.XLOOKUP(tb_Resumo[[#This Row],[SKU]], tb_Cadastro[SKU], tb_Cadastro[Preço])</f>
        <v>967.84</v>
      </c>
      <c r="D50" s="8">
        <f>SUMIFS(tb_Entrada[Quantidade], tb_Entrada[SKU], tb_Resumo[[#This Row],[SKU]])</f>
        <v>117</v>
      </c>
      <c r="E50" s="8">
        <f>SUMIFS(tb_Saida[Quantidade], tb_Saida[SKU], tb_Resumo[[#This Row],[SKU]])</f>
        <v>0</v>
      </c>
      <c r="F50" s="8">
        <f>tb_Resumo[[#This Row],[Qntd Entradas]]-tb_Resumo[[#This Row],[Qntd Saídas]]</f>
        <v>117</v>
      </c>
      <c r="G50" s="9">
        <f>tb_Resumo[[#This Row],[Saldo Atual]]*tb_Resumo[[#This Row],[Preço]]</f>
        <v>113237.28</v>
      </c>
      <c r="H50" s="8" t="str" cm="1">
        <f t="array" ref="H5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1" spans="1:8" x14ac:dyDescent="0.25">
      <c r="A51" t="s">
        <v>111</v>
      </c>
      <c r="B51" t="str">
        <f>_xlfn.XLOOKUP(tb_Resumo[[#This Row],[SKU]], tb_Cadastro[SKU], tb_Cadastro[Categoria])</f>
        <v>Redes</v>
      </c>
      <c r="C51" s="9">
        <f>_xlfn.XLOOKUP(tb_Resumo[[#This Row],[SKU]], tb_Cadastro[SKU], tb_Cadastro[Preço])</f>
        <v>830.71</v>
      </c>
      <c r="D51" s="8">
        <f>SUMIFS(tb_Entrada[Quantidade], tb_Entrada[SKU], tb_Resumo[[#This Row],[SKU]])</f>
        <v>193</v>
      </c>
      <c r="E51" s="8">
        <f>SUMIFS(tb_Saida[Quantidade], tb_Saida[SKU], tb_Resumo[[#This Row],[SKU]])</f>
        <v>74</v>
      </c>
      <c r="F51" s="8">
        <f>tb_Resumo[[#This Row],[Qntd Entradas]]-tb_Resumo[[#This Row],[Qntd Saídas]]</f>
        <v>119</v>
      </c>
      <c r="G51" s="9">
        <f>tb_Resumo[[#This Row],[Saldo Atual]]*tb_Resumo[[#This Row],[Preço]]</f>
        <v>98854.49</v>
      </c>
      <c r="H51" s="8" t="str" cm="1">
        <f t="array" ref="H5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2" spans="1:8" x14ac:dyDescent="0.25">
      <c r="A52" t="s">
        <v>95</v>
      </c>
      <c r="B52" t="str">
        <f>_xlfn.XLOOKUP(tb_Resumo[[#This Row],[SKU]], tb_Cadastro[SKU], tb_Cadastro[Categoria])</f>
        <v>Periféricos</v>
      </c>
      <c r="C52" s="9">
        <f>_xlfn.XLOOKUP(tb_Resumo[[#This Row],[SKU]], tb_Cadastro[SKU], tb_Cadastro[Preço])</f>
        <v>950.74</v>
      </c>
      <c r="D52" s="8">
        <f>SUMIFS(tb_Entrada[Quantidade], tb_Entrada[SKU], tb_Resumo[[#This Row],[SKU]])</f>
        <v>187</v>
      </c>
      <c r="E52" s="8">
        <f>SUMIFS(tb_Saida[Quantidade], tb_Saida[SKU], tb_Resumo[[#This Row],[SKU]])</f>
        <v>64</v>
      </c>
      <c r="F52" s="8">
        <f>tb_Resumo[[#This Row],[Qntd Entradas]]-tb_Resumo[[#This Row],[Qntd Saídas]]</f>
        <v>123</v>
      </c>
      <c r="G52" s="9">
        <f>tb_Resumo[[#This Row],[Saldo Atual]]*tb_Resumo[[#This Row],[Preço]]</f>
        <v>116941.02</v>
      </c>
      <c r="H52" s="8" t="str" cm="1">
        <f t="array" ref="H5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3" spans="1:8" x14ac:dyDescent="0.25">
      <c r="A53" t="s">
        <v>6</v>
      </c>
      <c r="B53" t="str">
        <f>_xlfn.XLOOKUP(tb_Resumo[[#This Row],[SKU]], tb_Cadastro[SKU], tb_Cadastro[Categoria])</f>
        <v>Componentes</v>
      </c>
      <c r="C53" s="9">
        <f>_xlfn.XLOOKUP(tb_Resumo[[#This Row],[SKU]], tb_Cadastro[SKU], tb_Cadastro[Preço])</f>
        <v>121.42</v>
      </c>
      <c r="D53" s="8">
        <f>SUMIFS(tb_Entrada[Quantidade], tb_Entrada[SKU], tb_Resumo[[#This Row],[SKU]])</f>
        <v>327</v>
      </c>
      <c r="E53" s="8">
        <f>SUMIFS(tb_Saida[Quantidade], tb_Saida[SKU], tb_Resumo[[#This Row],[SKU]])</f>
        <v>202</v>
      </c>
      <c r="F53" s="8">
        <f>tb_Resumo[[#This Row],[Qntd Entradas]]-tb_Resumo[[#This Row],[Qntd Saídas]]</f>
        <v>125</v>
      </c>
      <c r="G53" s="9">
        <f>tb_Resumo[[#This Row],[Saldo Atual]]*tb_Resumo[[#This Row],[Preço]]</f>
        <v>15177.5</v>
      </c>
      <c r="H53" s="8" t="str" cm="1">
        <f t="array" ref="H5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4" spans="1:8" x14ac:dyDescent="0.25">
      <c r="A54" t="s">
        <v>68</v>
      </c>
      <c r="B54" t="str">
        <f>_xlfn.XLOOKUP(tb_Resumo[[#This Row],[SKU]], tb_Cadastro[SKU], tb_Cadastro[Categoria])</f>
        <v>Imagem e Som</v>
      </c>
      <c r="C54" s="9">
        <f>_xlfn.XLOOKUP(tb_Resumo[[#This Row],[SKU]], tb_Cadastro[SKU], tb_Cadastro[Preço])</f>
        <v>588.87</v>
      </c>
      <c r="D54" s="8">
        <f>SUMIFS(tb_Entrada[Quantidade], tb_Entrada[SKU], tb_Resumo[[#This Row],[SKU]])</f>
        <v>321</v>
      </c>
      <c r="E54" s="8">
        <f>SUMIFS(tb_Saida[Quantidade], tb_Saida[SKU], tb_Resumo[[#This Row],[SKU]])</f>
        <v>193</v>
      </c>
      <c r="F54" s="8">
        <f>tb_Resumo[[#This Row],[Qntd Entradas]]-tb_Resumo[[#This Row],[Qntd Saídas]]</f>
        <v>128</v>
      </c>
      <c r="G54" s="9">
        <f>tb_Resumo[[#This Row],[Saldo Atual]]*tb_Resumo[[#This Row],[Preço]]</f>
        <v>75375.360000000001</v>
      </c>
      <c r="H54" s="8" t="str" cm="1">
        <f t="array" ref="H5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5" spans="1:8" x14ac:dyDescent="0.25">
      <c r="A55" t="s">
        <v>121</v>
      </c>
      <c r="B55" t="str">
        <f>_xlfn.XLOOKUP(tb_Resumo[[#This Row],[SKU]], tb_Cadastro[SKU], tb_Cadastro[Categoria])</f>
        <v>Imagem e Som</v>
      </c>
      <c r="C55" s="9">
        <f>_xlfn.XLOOKUP(tb_Resumo[[#This Row],[SKU]], tb_Cadastro[SKU], tb_Cadastro[Preço])</f>
        <v>542.75</v>
      </c>
      <c r="D55" s="8">
        <f>SUMIFS(tb_Entrada[Quantidade], tb_Entrada[SKU], tb_Resumo[[#This Row],[SKU]])</f>
        <v>238</v>
      </c>
      <c r="E55" s="8">
        <f>SUMIFS(tb_Saida[Quantidade], tb_Saida[SKU], tb_Resumo[[#This Row],[SKU]])</f>
        <v>105</v>
      </c>
      <c r="F55" s="8">
        <f>tb_Resumo[[#This Row],[Qntd Entradas]]-tb_Resumo[[#This Row],[Qntd Saídas]]</f>
        <v>133</v>
      </c>
      <c r="G55" s="9">
        <f>tb_Resumo[[#This Row],[Saldo Atual]]*tb_Resumo[[#This Row],[Preço]]</f>
        <v>72185.75</v>
      </c>
      <c r="H55" s="8" t="str" cm="1">
        <f t="array" ref="H5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6" spans="1:8" x14ac:dyDescent="0.25">
      <c r="A56" t="s">
        <v>97</v>
      </c>
      <c r="B56" t="str">
        <f>_xlfn.XLOOKUP(tb_Resumo[[#This Row],[SKU]], tb_Cadastro[SKU], tb_Cadastro[Categoria])</f>
        <v>Acessórios</v>
      </c>
      <c r="C56" s="9">
        <f>_xlfn.XLOOKUP(tb_Resumo[[#This Row],[SKU]], tb_Cadastro[SKU], tb_Cadastro[Preço])</f>
        <v>174.26</v>
      </c>
      <c r="D56" s="8">
        <f>SUMIFS(tb_Entrada[Quantidade], tb_Entrada[SKU], tb_Resumo[[#This Row],[SKU]])</f>
        <v>297</v>
      </c>
      <c r="E56" s="8">
        <f>SUMIFS(tb_Saida[Quantidade], tb_Saida[SKU], tb_Resumo[[#This Row],[SKU]])</f>
        <v>160</v>
      </c>
      <c r="F56" s="8">
        <f>tb_Resumo[[#This Row],[Qntd Entradas]]-tb_Resumo[[#This Row],[Qntd Saídas]]</f>
        <v>137</v>
      </c>
      <c r="G56" s="9">
        <f>tb_Resumo[[#This Row],[Saldo Atual]]*tb_Resumo[[#This Row],[Preço]]</f>
        <v>23873.62</v>
      </c>
      <c r="H56" s="8" t="str" cm="1">
        <f t="array" ref="H5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7" spans="1:8" x14ac:dyDescent="0.25">
      <c r="A57" t="s">
        <v>69</v>
      </c>
      <c r="B57" t="str">
        <f>_xlfn.XLOOKUP(tb_Resumo[[#This Row],[SKU]], tb_Cadastro[SKU], tb_Cadastro[Categoria])</f>
        <v>Armazenamento</v>
      </c>
      <c r="C57" s="9">
        <f>_xlfn.XLOOKUP(tb_Resumo[[#This Row],[SKU]], tb_Cadastro[SKU], tb_Cadastro[Preço])</f>
        <v>383.27</v>
      </c>
      <c r="D57" s="8">
        <f>SUMIFS(tb_Entrada[Quantidade], tb_Entrada[SKU], tb_Resumo[[#This Row],[SKU]])</f>
        <v>413</v>
      </c>
      <c r="E57" s="8">
        <f>SUMIFS(tb_Saida[Quantidade], tb_Saida[SKU], tb_Resumo[[#This Row],[SKU]])</f>
        <v>274</v>
      </c>
      <c r="F57" s="8">
        <f>tb_Resumo[[#This Row],[Qntd Entradas]]-tb_Resumo[[#This Row],[Qntd Saídas]]</f>
        <v>139</v>
      </c>
      <c r="G57" s="9">
        <f>tb_Resumo[[#This Row],[Saldo Atual]]*tb_Resumo[[#This Row],[Preço]]</f>
        <v>53274.53</v>
      </c>
      <c r="H57" s="8" t="str" cm="1">
        <f t="array" ref="H5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8" spans="1:8" x14ac:dyDescent="0.25">
      <c r="A58" t="s">
        <v>67</v>
      </c>
      <c r="B58" t="str">
        <f>_xlfn.XLOOKUP(tb_Resumo[[#This Row],[SKU]], tb_Cadastro[SKU], tb_Cadastro[Categoria])</f>
        <v>Acessórios</v>
      </c>
      <c r="C58" s="9">
        <f>_xlfn.XLOOKUP(tb_Resumo[[#This Row],[SKU]], tb_Cadastro[SKU], tb_Cadastro[Preço])</f>
        <v>97.2</v>
      </c>
      <c r="D58" s="8">
        <f>SUMIFS(tb_Entrada[Quantidade], tb_Entrada[SKU], tb_Resumo[[#This Row],[SKU]])</f>
        <v>380</v>
      </c>
      <c r="E58" s="8">
        <f>SUMIFS(tb_Saida[Quantidade], tb_Saida[SKU], tb_Resumo[[#This Row],[SKU]])</f>
        <v>235</v>
      </c>
      <c r="F58" s="8">
        <f>tb_Resumo[[#This Row],[Qntd Entradas]]-tb_Resumo[[#This Row],[Qntd Saídas]]</f>
        <v>145</v>
      </c>
      <c r="G58" s="9">
        <f>tb_Resumo[[#This Row],[Saldo Atual]]*tb_Resumo[[#This Row],[Preço]]</f>
        <v>14094</v>
      </c>
      <c r="H58" s="8" t="str" cm="1">
        <f t="array" ref="H5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59" spans="1:8" x14ac:dyDescent="0.25">
      <c r="A59" t="s">
        <v>76</v>
      </c>
      <c r="B59" t="str">
        <f>_xlfn.XLOOKUP(tb_Resumo[[#This Row],[SKU]], tb_Cadastro[SKU], tb_Cadastro[Categoria])</f>
        <v>Acessórios</v>
      </c>
      <c r="C59" s="9">
        <f>_xlfn.XLOOKUP(tb_Resumo[[#This Row],[SKU]], tb_Cadastro[SKU], tb_Cadastro[Preço])</f>
        <v>536.77</v>
      </c>
      <c r="D59" s="8">
        <f>SUMIFS(tb_Entrada[Quantidade], tb_Entrada[SKU], tb_Resumo[[#This Row],[SKU]])</f>
        <v>242</v>
      </c>
      <c r="E59" s="8">
        <f>SUMIFS(tb_Saida[Quantidade], tb_Saida[SKU], tb_Resumo[[#This Row],[SKU]])</f>
        <v>97</v>
      </c>
      <c r="F59" s="8">
        <f>tb_Resumo[[#This Row],[Qntd Entradas]]-tb_Resumo[[#This Row],[Qntd Saídas]]</f>
        <v>145</v>
      </c>
      <c r="G59" s="9">
        <f>tb_Resumo[[#This Row],[Saldo Atual]]*tb_Resumo[[#This Row],[Preço]]</f>
        <v>77831.649999999994</v>
      </c>
      <c r="H59" s="8" t="str" cm="1">
        <f t="array" ref="H5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0" spans="1:8" x14ac:dyDescent="0.25">
      <c r="A60" t="s">
        <v>40</v>
      </c>
      <c r="B60" t="str">
        <f>_xlfn.XLOOKUP(tb_Resumo[[#This Row],[SKU]], tb_Cadastro[SKU], tb_Cadastro[Categoria])</f>
        <v>Acessórios</v>
      </c>
      <c r="C60" s="9">
        <f>_xlfn.XLOOKUP(tb_Resumo[[#This Row],[SKU]], tb_Cadastro[SKU], tb_Cadastro[Preço])</f>
        <v>837.9</v>
      </c>
      <c r="D60" s="8">
        <f>SUMIFS(tb_Entrada[Quantidade], tb_Entrada[SKU], tb_Resumo[[#This Row],[SKU]])</f>
        <v>336</v>
      </c>
      <c r="E60" s="8">
        <f>SUMIFS(tb_Saida[Quantidade], tb_Saida[SKU], tb_Resumo[[#This Row],[SKU]])</f>
        <v>188</v>
      </c>
      <c r="F60" s="8">
        <f>tb_Resumo[[#This Row],[Qntd Entradas]]-tb_Resumo[[#This Row],[Qntd Saídas]]</f>
        <v>148</v>
      </c>
      <c r="G60" s="9">
        <f>tb_Resumo[[#This Row],[Saldo Atual]]*tb_Resumo[[#This Row],[Preço]]</f>
        <v>124009.2</v>
      </c>
      <c r="H60" s="8" t="str" cm="1">
        <f t="array" ref="H6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1" spans="1:8" x14ac:dyDescent="0.25">
      <c r="A61" t="s">
        <v>134</v>
      </c>
      <c r="B61" t="str">
        <f>_xlfn.XLOOKUP(tb_Resumo[[#This Row],[SKU]], tb_Cadastro[SKU], tb_Cadastro[Categoria])</f>
        <v>Imagem e Som</v>
      </c>
      <c r="C61" s="9">
        <f>_xlfn.XLOOKUP(tb_Resumo[[#This Row],[SKU]], tb_Cadastro[SKU], tb_Cadastro[Preço])</f>
        <v>682.72</v>
      </c>
      <c r="D61" s="8">
        <f>SUMIFS(tb_Entrada[Quantidade], tb_Entrada[SKU], tb_Resumo[[#This Row],[SKU]])</f>
        <v>244</v>
      </c>
      <c r="E61" s="8">
        <f>SUMIFS(tb_Saida[Quantidade], tb_Saida[SKU], tb_Resumo[[#This Row],[SKU]])</f>
        <v>94</v>
      </c>
      <c r="F61" s="8">
        <f>tb_Resumo[[#This Row],[Qntd Entradas]]-tb_Resumo[[#This Row],[Qntd Saídas]]</f>
        <v>150</v>
      </c>
      <c r="G61" s="9">
        <f>tb_Resumo[[#This Row],[Saldo Atual]]*tb_Resumo[[#This Row],[Preço]]</f>
        <v>102408</v>
      </c>
      <c r="H61" s="8" t="str" cm="1">
        <f t="array" ref="H6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2" spans="1:8" x14ac:dyDescent="0.25">
      <c r="A62" t="s">
        <v>48</v>
      </c>
      <c r="B62" t="str">
        <f>_xlfn.XLOOKUP(tb_Resumo[[#This Row],[SKU]], tb_Cadastro[SKU], tb_Cadastro[Categoria])</f>
        <v>Hardware</v>
      </c>
      <c r="C62" s="9">
        <f>_xlfn.XLOOKUP(tb_Resumo[[#This Row],[SKU]], tb_Cadastro[SKU], tb_Cadastro[Preço])</f>
        <v>349.59</v>
      </c>
      <c r="D62" s="8">
        <f>SUMIFS(tb_Entrada[Quantidade], tb_Entrada[SKU], tb_Resumo[[#This Row],[SKU]])</f>
        <v>335</v>
      </c>
      <c r="E62" s="8">
        <f>SUMIFS(tb_Saida[Quantidade], tb_Saida[SKU], tb_Resumo[[#This Row],[SKU]])</f>
        <v>179</v>
      </c>
      <c r="F62" s="8">
        <f>tb_Resumo[[#This Row],[Qntd Entradas]]-tb_Resumo[[#This Row],[Qntd Saídas]]</f>
        <v>156</v>
      </c>
      <c r="G62" s="9">
        <f>tb_Resumo[[#This Row],[Saldo Atual]]*tb_Resumo[[#This Row],[Preço]]</f>
        <v>54536.039999999994</v>
      </c>
      <c r="H62" s="8" t="str" cm="1">
        <f t="array" ref="H6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3" spans="1:8" x14ac:dyDescent="0.25">
      <c r="A63" t="s">
        <v>119</v>
      </c>
      <c r="B63" t="str">
        <f>_xlfn.XLOOKUP(tb_Resumo[[#This Row],[SKU]], tb_Cadastro[SKU], tb_Cadastro[Categoria])</f>
        <v>Componentes</v>
      </c>
      <c r="C63" s="9">
        <f>_xlfn.XLOOKUP(tb_Resumo[[#This Row],[SKU]], tb_Cadastro[SKU], tb_Cadastro[Preço])</f>
        <v>257.3</v>
      </c>
      <c r="D63" s="8">
        <f>SUMIFS(tb_Entrada[Quantidade], tb_Entrada[SKU], tb_Resumo[[#This Row],[SKU]])</f>
        <v>284</v>
      </c>
      <c r="E63" s="8">
        <f>SUMIFS(tb_Saida[Quantidade], tb_Saida[SKU], tb_Resumo[[#This Row],[SKU]])</f>
        <v>127</v>
      </c>
      <c r="F63" s="8">
        <f>tb_Resumo[[#This Row],[Qntd Entradas]]-tb_Resumo[[#This Row],[Qntd Saídas]]</f>
        <v>157</v>
      </c>
      <c r="G63" s="9">
        <f>tb_Resumo[[#This Row],[Saldo Atual]]*tb_Resumo[[#This Row],[Preço]]</f>
        <v>40396.1</v>
      </c>
      <c r="H63" s="8" t="str" cm="1">
        <f t="array" ref="H6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4" spans="1:8" x14ac:dyDescent="0.25">
      <c r="A64" t="s">
        <v>46</v>
      </c>
      <c r="B64" t="str">
        <f>_xlfn.XLOOKUP(tb_Resumo[[#This Row],[SKU]], tb_Cadastro[SKU], tb_Cadastro[Categoria])</f>
        <v>Redes</v>
      </c>
      <c r="C64" s="9">
        <f>_xlfn.XLOOKUP(tb_Resumo[[#This Row],[SKU]], tb_Cadastro[SKU], tb_Cadastro[Preço])</f>
        <v>806.69</v>
      </c>
      <c r="D64" s="8">
        <f>SUMIFS(tb_Entrada[Quantidade], tb_Entrada[SKU], tb_Resumo[[#This Row],[SKU]])</f>
        <v>355</v>
      </c>
      <c r="E64" s="8">
        <f>SUMIFS(tb_Saida[Quantidade], tb_Saida[SKU], tb_Resumo[[#This Row],[SKU]])</f>
        <v>196</v>
      </c>
      <c r="F64" s="8">
        <f>tb_Resumo[[#This Row],[Qntd Entradas]]-tb_Resumo[[#This Row],[Qntd Saídas]]</f>
        <v>159</v>
      </c>
      <c r="G64" s="9">
        <f>tb_Resumo[[#This Row],[Saldo Atual]]*tb_Resumo[[#This Row],[Preço]]</f>
        <v>128263.71</v>
      </c>
      <c r="H64" s="8" t="str" cm="1">
        <f t="array" ref="H6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5" spans="1:8" x14ac:dyDescent="0.25">
      <c r="A65" t="s">
        <v>66</v>
      </c>
      <c r="B65" t="str">
        <f>_xlfn.XLOOKUP(tb_Resumo[[#This Row],[SKU]], tb_Cadastro[SKU], tb_Cadastro[Categoria])</f>
        <v>Imagem e Som</v>
      </c>
      <c r="C65" s="9">
        <f>_xlfn.XLOOKUP(tb_Resumo[[#This Row],[SKU]], tb_Cadastro[SKU], tb_Cadastro[Preço])</f>
        <v>914.49</v>
      </c>
      <c r="D65" s="8">
        <f>SUMIFS(tb_Entrada[Quantidade], tb_Entrada[SKU], tb_Resumo[[#This Row],[SKU]])</f>
        <v>550</v>
      </c>
      <c r="E65" s="8">
        <f>SUMIFS(tb_Saida[Quantidade], tb_Saida[SKU], tb_Resumo[[#This Row],[SKU]])</f>
        <v>391</v>
      </c>
      <c r="F65" s="8">
        <f>tb_Resumo[[#This Row],[Qntd Entradas]]-tb_Resumo[[#This Row],[Qntd Saídas]]</f>
        <v>159</v>
      </c>
      <c r="G65" s="9">
        <f>tb_Resumo[[#This Row],[Saldo Atual]]*tb_Resumo[[#This Row],[Preço]]</f>
        <v>145403.91</v>
      </c>
      <c r="H65" s="8" t="str" cm="1">
        <f t="array" ref="H6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6" spans="1:8" x14ac:dyDescent="0.25">
      <c r="A66" t="s">
        <v>115</v>
      </c>
      <c r="B66" t="str">
        <f>_xlfn.XLOOKUP(tb_Resumo[[#This Row],[SKU]], tb_Cadastro[SKU], tb_Cadastro[Categoria])</f>
        <v>Redes</v>
      </c>
      <c r="C66" s="9">
        <f>_xlfn.XLOOKUP(tb_Resumo[[#This Row],[SKU]], tb_Cadastro[SKU], tb_Cadastro[Preço])</f>
        <v>576.48</v>
      </c>
      <c r="D66" s="8">
        <f>SUMIFS(tb_Entrada[Quantidade], tb_Entrada[SKU], tb_Resumo[[#This Row],[SKU]])</f>
        <v>322</v>
      </c>
      <c r="E66" s="8">
        <f>SUMIFS(tb_Saida[Quantidade], tb_Saida[SKU], tb_Resumo[[#This Row],[SKU]])</f>
        <v>158</v>
      </c>
      <c r="F66" s="8">
        <f>tb_Resumo[[#This Row],[Qntd Entradas]]-tb_Resumo[[#This Row],[Qntd Saídas]]</f>
        <v>164</v>
      </c>
      <c r="G66" s="9">
        <f>tb_Resumo[[#This Row],[Saldo Atual]]*tb_Resumo[[#This Row],[Preço]]</f>
        <v>94542.720000000001</v>
      </c>
      <c r="H66" s="8" t="str" cm="1">
        <f t="array" ref="H6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7" spans="1:8" x14ac:dyDescent="0.25">
      <c r="A67" t="s">
        <v>73</v>
      </c>
      <c r="B67" t="str">
        <f>_xlfn.XLOOKUP(tb_Resumo[[#This Row],[SKU]], tb_Cadastro[SKU], tb_Cadastro[Categoria])</f>
        <v>Redes</v>
      </c>
      <c r="C67" s="9">
        <f>_xlfn.XLOOKUP(tb_Resumo[[#This Row],[SKU]], tb_Cadastro[SKU], tb_Cadastro[Preço])</f>
        <v>393.32</v>
      </c>
      <c r="D67" s="8">
        <f>SUMIFS(tb_Entrada[Quantidade], tb_Entrada[SKU], tb_Resumo[[#This Row],[SKU]])</f>
        <v>335</v>
      </c>
      <c r="E67" s="8">
        <f>SUMIFS(tb_Saida[Quantidade], tb_Saida[SKU], tb_Resumo[[#This Row],[SKU]])</f>
        <v>164</v>
      </c>
      <c r="F67" s="8">
        <f>tb_Resumo[[#This Row],[Qntd Entradas]]-tb_Resumo[[#This Row],[Qntd Saídas]]</f>
        <v>171</v>
      </c>
      <c r="G67" s="9">
        <f>tb_Resumo[[#This Row],[Saldo Atual]]*tb_Resumo[[#This Row],[Preço]]</f>
        <v>67257.72</v>
      </c>
      <c r="H67" s="8" t="str" cm="1">
        <f t="array" ref="H6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8" spans="1:8" x14ac:dyDescent="0.25">
      <c r="A68" t="s">
        <v>84</v>
      </c>
      <c r="B68" t="str">
        <f>_xlfn.XLOOKUP(tb_Resumo[[#This Row],[SKU]], tb_Cadastro[SKU], tb_Cadastro[Categoria])</f>
        <v>Acessórios</v>
      </c>
      <c r="C68" s="9">
        <f>_xlfn.XLOOKUP(tb_Resumo[[#This Row],[SKU]], tb_Cadastro[SKU], tb_Cadastro[Preço])</f>
        <v>898.39</v>
      </c>
      <c r="D68" s="8">
        <f>SUMIFS(tb_Entrada[Quantidade], tb_Entrada[SKU], tb_Resumo[[#This Row],[SKU]])</f>
        <v>180</v>
      </c>
      <c r="E68" s="8">
        <f>SUMIFS(tb_Saida[Quantidade], tb_Saida[SKU], tb_Resumo[[#This Row],[SKU]])</f>
        <v>3</v>
      </c>
      <c r="F68" s="8">
        <f>tb_Resumo[[#This Row],[Qntd Entradas]]-tb_Resumo[[#This Row],[Qntd Saídas]]</f>
        <v>177</v>
      </c>
      <c r="G68" s="9">
        <f>tb_Resumo[[#This Row],[Saldo Atual]]*tb_Resumo[[#This Row],[Preço]]</f>
        <v>159015.03</v>
      </c>
      <c r="H68" s="8" t="str" cm="1">
        <f t="array" ref="H6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69" spans="1:8" x14ac:dyDescent="0.25">
      <c r="A69" t="s">
        <v>99</v>
      </c>
      <c r="B69" t="str">
        <f>_xlfn.XLOOKUP(tb_Resumo[[#This Row],[SKU]], tb_Cadastro[SKU], tb_Cadastro[Categoria])</f>
        <v>Componentes</v>
      </c>
      <c r="C69" s="9">
        <f>_xlfn.XLOOKUP(tb_Resumo[[#This Row],[SKU]], tb_Cadastro[SKU], tb_Cadastro[Preço])</f>
        <v>250.84</v>
      </c>
      <c r="D69" s="8">
        <f>SUMIFS(tb_Entrada[Quantidade], tb_Entrada[SKU], tb_Resumo[[#This Row],[SKU]])</f>
        <v>362</v>
      </c>
      <c r="E69" s="8">
        <f>SUMIFS(tb_Saida[Quantidade], tb_Saida[SKU], tb_Resumo[[#This Row],[SKU]])</f>
        <v>182</v>
      </c>
      <c r="F69" s="8">
        <f>tb_Resumo[[#This Row],[Qntd Entradas]]-tb_Resumo[[#This Row],[Qntd Saídas]]</f>
        <v>180</v>
      </c>
      <c r="G69" s="9">
        <f>tb_Resumo[[#This Row],[Saldo Atual]]*tb_Resumo[[#This Row],[Preço]]</f>
        <v>45151.199999999997</v>
      </c>
      <c r="H69" s="8" t="str" cm="1">
        <f t="array" ref="H6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0" spans="1:8" x14ac:dyDescent="0.25">
      <c r="A70" t="s">
        <v>18</v>
      </c>
      <c r="B70" t="str">
        <f>_xlfn.XLOOKUP(tb_Resumo[[#This Row],[SKU]], tb_Cadastro[SKU], tb_Cadastro[Categoria])</f>
        <v>Periféricos</v>
      </c>
      <c r="C70" s="9">
        <f>_xlfn.XLOOKUP(tb_Resumo[[#This Row],[SKU]], tb_Cadastro[SKU], tb_Cadastro[Preço])</f>
        <v>787.03</v>
      </c>
      <c r="D70" s="8">
        <f>SUMIFS(tb_Entrada[Quantidade], tb_Entrada[SKU], tb_Resumo[[#This Row],[SKU]])</f>
        <v>356</v>
      </c>
      <c r="E70" s="8">
        <f>SUMIFS(tb_Saida[Quantidade], tb_Saida[SKU], tb_Resumo[[#This Row],[SKU]])</f>
        <v>169</v>
      </c>
      <c r="F70" s="8">
        <f>tb_Resumo[[#This Row],[Qntd Entradas]]-tb_Resumo[[#This Row],[Qntd Saídas]]</f>
        <v>187</v>
      </c>
      <c r="G70" s="9">
        <f>tb_Resumo[[#This Row],[Saldo Atual]]*tb_Resumo[[#This Row],[Preço]]</f>
        <v>147174.60999999999</v>
      </c>
      <c r="H70" s="8" t="str" cm="1">
        <f t="array" ref="H7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1" spans="1:8" x14ac:dyDescent="0.25">
      <c r="A71" t="s">
        <v>92</v>
      </c>
      <c r="B71" t="str">
        <f>_xlfn.XLOOKUP(tb_Resumo[[#This Row],[SKU]], tb_Cadastro[SKU], tb_Cadastro[Categoria])</f>
        <v>Periféricos</v>
      </c>
      <c r="C71" s="9">
        <f>_xlfn.XLOOKUP(tb_Resumo[[#This Row],[SKU]], tb_Cadastro[SKU], tb_Cadastro[Preço])</f>
        <v>333.64</v>
      </c>
      <c r="D71" s="8">
        <f>SUMIFS(tb_Entrada[Quantidade], tb_Entrada[SKU], tb_Resumo[[#This Row],[SKU]])</f>
        <v>337</v>
      </c>
      <c r="E71" s="8">
        <f>SUMIFS(tb_Saida[Quantidade], tb_Saida[SKU], tb_Resumo[[#This Row],[SKU]])</f>
        <v>150</v>
      </c>
      <c r="F71" s="8">
        <f>tb_Resumo[[#This Row],[Qntd Entradas]]-tb_Resumo[[#This Row],[Qntd Saídas]]</f>
        <v>187</v>
      </c>
      <c r="G71" s="9">
        <f>tb_Resumo[[#This Row],[Saldo Atual]]*tb_Resumo[[#This Row],[Preço]]</f>
        <v>62390.68</v>
      </c>
      <c r="H71" s="8" t="str" cm="1">
        <f t="array" ref="H7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2" spans="1:8" x14ac:dyDescent="0.25">
      <c r="A72" t="s">
        <v>77</v>
      </c>
      <c r="B72" t="str">
        <f>_xlfn.XLOOKUP(tb_Resumo[[#This Row],[SKU]], tb_Cadastro[SKU], tb_Cadastro[Categoria])</f>
        <v>Hardware</v>
      </c>
      <c r="C72" s="9">
        <f>_xlfn.XLOOKUP(tb_Resumo[[#This Row],[SKU]], tb_Cadastro[SKU], tb_Cadastro[Preço])</f>
        <v>833.87</v>
      </c>
      <c r="D72" s="8">
        <f>SUMIFS(tb_Entrada[Quantidade], tb_Entrada[SKU], tb_Resumo[[#This Row],[SKU]])</f>
        <v>424</v>
      </c>
      <c r="E72" s="8">
        <f>SUMIFS(tb_Saida[Quantidade], tb_Saida[SKU], tb_Resumo[[#This Row],[SKU]])</f>
        <v>232</v>
      </c>
      <c r="F72" s="8">
        <f>tb_Resumo[[#This Row],[Qntd Entradas]]-tb_Resumo[[#This Row],[Qntd Saídas]]</f>
        <v>192</v>
      </c>
      <c r="G72" s="9">
        <f>tb_Resumo[[#This Row],[Saldo Atual]]*tb_Resumo[[#This Row],[Preço]]</f>
        <v>160103.04000000001</v>
      </c>
      <c r="H72" s="8" t="str" cm="1">
        <f t="array" ref="H7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3" spans="1:8" x14ac:dyDescent="0.25">
      <c r="A73" t="s">
        <v>104</v>
      </c>
      <c r="B73" t="str">
        <f>_xlfn.XLOOKUP(tb_Resumo[[#This Row],[SKU]], tb_Cadastro[SKU], tb_Cadastro[Categoria])</f>
        <v>Imagem e Som</v>
      </c>
      <c r="C73" s="9">
        <f>_xlfn.XLOOKUP(tb_Resumo[[#This Row],[SKU]], tb_Cadastro[SKU], tb_Cadastro[Preço])</f>
        <v>447.66</v>
      </c>
      <c r="D73" s="8">
        <f>SUMIFS(tb_Entrada[Quantidade], tb_Entrada[SKU], tb_Resumo[[#This Row],[SKU]])</f>
        <v>353</v>
      </c>
      <c r="E73" s="8">
        <f>SUMIFS(tb_Saida[Quantidade], tb_Saida[SKU], tb_Resumo[[#This Row],[SKU]])</f>
        <v>159</v>
      </c>
      <c r="F73" s="8">
        <f>tb_Resumo[[#This Row],[Qntd Entradas]]-tb_Resumo[[#This Row],[Qntd Saídas]]</f>
        <v>194</v>
      </c>
      <c r="G73" s="9">
        <f>tb_Resumo[[#This Row],[Saldo Atual]]*tb_Resumo[[#This Row],[Preço]]</f>
        <v>86846.040000000008</v>
      </c>
      <c r="H73" s="8" t="str" cm="1">
        <f t="array" ref="H7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4" spans="1:8" x14ac:dyDescent="0.25">
      <c r="A74" t="s">
        <v>90</v>
      </c>
      <c r="B74" t="str">
        <f>_xlfn.XLOOKUP(tb_Resumo[[#This Row],[SKU]], tb_Cadastro[SKU], tb_Cadastro[Categoria])</f>
        <v>Acessórios</v>
      </c>
      <c r="C74" s="9">
        <f>_xlfn.XLOOKUP(tb_Resumo[[#This Row],[SKU]], tb_Cadastro[SKU], tb_Cadastro[Preço])</f>
        <v>970.1</v>
      </c>
      <c r="D74" s="8">
        <f>SUMIFS(tb_Entrada[Quantidade], tb_Entrada[SKU], tb_Resumo[[#This Row],[SKU]])</f>
        <v>376</v>
      </c>
      <c r="E74" s="8">
        <f>SUMIFS(tb_Saida[Quantidade], tb_Saida[SKU], tb_Resumo[[#This Row],[SKU]])</f>
        <v>182</v>
      </c>
      <c r="F74" s="8">
        <f>tb_Resumo[[#This Row],[Qntd Entradas]]-tb_Resumo[[#This Row],[Qntd Saídas]]</f>
        <v>194</v>
      </c>
      <c r="G74" s="9">
        <f>tb_Resumo[[#This Row],[Saldo Atual]]*tb_Resumo[[#This Row],[Preço]]</f>
        <v>188199.4</v>
      </c>
      <c r="H74" s="8" t="str" cm="1">
        <f t="array" ref="H7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5" spans="1:8" x14ac:dyDescent="0.25">
      <c r="A75" t="s">
        <v>101</v>
      </c>
      <c r="B75" t="str">
        <f>_xlfn.XLOOKUP(tb_Resumo[[#This Row],[SKU]], tb_Cadastro[SKU], tb_Cadastro[Categoria])</f>
        <v>Acessórios</v>
      </c>
      <c r="C75" s="9">
        <f>_xlfn.XLOOKUP(tb_Resumo[[#This Row],[SKU]], tb_Cadastro[SKU], tb_Cadastro[Preço])</f>
        <v>991.03</v>
      </c>
      <c r="D75" s="8">
        <f>SUMIFS(tb_Entrada[Quantidade], tb_Entrada[SKU], tb_Resumo[[#This Row],[SKU]])</f>
        <v>348</v>
      </c>
      <c r="E75" s="8">
        <f>SUMIFS(tb_Saida[Quantidade], tb_Saida[SKU], tb_Resumo[[#This Row],[SKU]])</f>
        <v>153</v>
      </c>
      <c r="F75" s="8">
        <f>tb_Resumo[[#This Row],[Qntd Entradas]]-tb_Resumo[[#This Row],[Qntd Saídas]]</f>
        <v>195</v>
      </c>
      <c r="G75" s="9">
        <f>tb_Resumo[[#This Row],[Saldo Atual]]*tb_Resumo[[#This Row],[Preço]]</f>
        <v>193250.85</v>
      </c>
      <c r="H75" s="8" t="str" cm="1">
        <f t="array" ref="H7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6" spans="1:8" x14ac:dyDescent="0.25">
      <c r="A76" t="s">
        <v>21</v>
      </c>
      <c r="B76" t="str">
        <f>_xlfn.XLOOKUP(tb_Resumo[[#This Row],[SKU]], tb_Cadastro[SKU], tb_Cadastro[Categoria])</f>
        <v>Imagem e Som</v>
      </c>
      <c r="C76" s="9">
        <f>_xlfn.XLOOKUP(tb_Resumo[[#This Row],[SKU]], tb_Cadastro[SKU], tb_Cadastro[Preço])</f>
        <v>539.37</v>
      </c>
      <c r="D76" s="8">
        <f>SUMIFS(tb_Entrada[Quantidade], tb_Entrada[SKU], tb_Resumo[[#This Row],[SKU]])</f>
        <v>407</v>
      </c>
      <c r="E76" s="8">
        <f>SUMIFS(tb_Saida[Quantidade], tb_Saida[SKU], tb_Resumo[[#This Row],[SKU]])</f>
        <v>212</v>
      </c>
      <c r="F76" s="8">
        <f>tb_Resumo[[#This Row],[Qntd Entradas]]-tb_Resumo[[#This Row],[Qntd Saídas]]</f>
        <v>195</v>
      </c>
      <c r="G76" s="9">
        <f>tb_Resumo[[#This Row],[Saldo Atual]]*tb_Resumo[[#This Row],[Preço]]</f>
        <v>105177.15</v>
      </c>
      <c r="H76" s="8" t="str" cm="1">
        <f t="array" ref="H7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7" spans="1:8" x14ac:dyDescent="0.25">
      <c r="A77" t="s">
        <v>49</v>
      </c>
      <c r="B77" t="str">
        <f>_xlfn.XLOOKUP(tb_Resumo[[#This Row],[SKU]], tb_Cadastro[SKU], tb_Cadastro[Categoria])</f>
        <v>Armazenamento</v>
      </c>
      <c r="C77" s="9">
        <f>_xlfn.XLOOKUP(tb_Resumo[[#This Row],[SKU]], tb_Cadastro[SKU], tb_Cadastro[Preço])</f>
        <v>89.57</v>
      </c>
      <c r="D77" s="8">
        <f>SUMIFS(tb_Entrada[Quantidade], tb_Entrada[SKU], tb_Resumo[[#This Row],[SKU]])</f>
        <v>404</v>
      </c>
      <c r="E77" s="8">
        <f>SUMIFS(tb_Saida[Quantidade], tb_Saida[SKU], tb_Resumo[[#This Row],[SKU]])</f>
        <v>208</v>
      </c>
      <c r="F77" s="8">
        <f>tb_Resumo[[#This Row],[Qntd Entradas]]-tb_Resumo[[#This Row],[Qntd Saídas]]</f>
        <v>196</v>
      </c>
      <c r="G77" s="9">
        <f>tb_Resumo[[#This Row],[Saldo Atual]]*tb_Resumo[[#This Row],[Preço]]</f>
        <v>17555.719999999998</v>
      </c>
      <c r="H77" s="8" t="str" cm="1">
        <f t="array" ref="H7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8" spans="1:8" x14ac:dyDescent="0.25">
      <c r="A78" t="s">
        <v>89</v>
      </c>
      <c r="B78" t="str">
        <f>_xlfn.XLOOKUP(tb_Resumo[[#This Row],[SKU]], tb_Cadastro[SKU], tb_Cadastro[Categoria])</f>
        <v>Acessórios</v>
      </c>
      <c r="C78" s="9">
        <f>_xlfn.XLOOKUP(tb_Resumo[[#This Row],[SKU]], tb_Cadastro[SKU], tb_Cadastro[Preço])</f>
        <v>389.93</v>
      </c>
      <c r="D78" s="8">
        <f>SUMIFS(tb_Entrada[Quantidade], tb_Entrada[SKU], tb_Resumo[[#This Row],[SKU]])</f>
        <v>238</v>
      </c>
      <c r="E78" s="8">
        <f>SUMIFS(tb_Saida[Quantidade], tb_Saida[SKU], tb_Resumo[[#This Row],[SKU]])</f>
        <v>29</v>
      </c>
      <c r="F78" s="8">
        <f>tb_Resumo[[#This Row],[Qntd Entradas]]-tb_Resumo[[#This Row],[Qntd Saídas]]</f>
        <v>209</v>
      </c>
      <c r="G78" s="9">
        <f>tb_Resumo[[#This Row],[Saldo Atual]]*tb_Resumo[[#This Row],[Preço]]</f>
        <v>81495.37</v>
      </c>
      <c r="H78" s="8" t="str" cm="1">
        <f t="array" ref="H7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79" spans="1:8" x14ac:dyDescent="0.25">
      <c r="A79" t="s">
        <v>122</v>
      </c>
      <c r="B79" t="str">
        <f>_xlfn.XLOOKUP(tb_Resumo[[#This Row],[SKU]], tb_Cadastro[SKU], tb_Cadastro[Categoria])</f>
        <v>Imagem e Som</v>
      </c>
      <c r="C79" s="9">
        <f>_xlfn.XLOOKUP(tb_Resumo[[#This Row],[SKU]], tb_Cadastro[SKU], tb_Cadastro[Preço])</f>
        <v>931.11</v>
      </c>
      <c r="D79" s="8">
        <f>SUMIFS(tb_Entrada[Quantidade], tb_Entrada[SKU], tb_Resumo[[#This Row],[SKU]])</f>
        <v>323</v>
      </c>
      <c r="E79" s="8">
        <f>SUMIFS(tb_Saida[Quantidade], tb_Saida[SKU], tb_Resumo[[#This Row],[SKU]])</f>
        <v>104</v>
      </c>
      <c r="F79" s="8">
        <f>tb_Resumo[[#This Row],[Qntd Entradas]]-tb_Resumo[[#This Row],[Qntd Saídas]]</f>
        <v>219</v>
      </c>
      <c r="G79" s="9">
        <f>tb_Resumo[[#This Row],[Saldo Atual]]*tb_Resumo[[#This Row],[Preço]]</f>
        <v>203913.09</v>
      </c>
      <c r="H79" s="8" t="str" cm="1">
        <f t="array" ref="H7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0" spans="1:8" x14ac:dyDescent="0.25">
      <c r="A80" t="s">
        <v>37</v>
      </c>
      <c r="B80" t="str">
        <f>_xlfn.XLOOKUP(tb_Resumo[[#This Row],[SKU]], tb_Cadastro[SKU], tb_Cadastro[Categoria])</f>
        <v>Hardware</v>
      </c>
      <c r="C80" s="9">
        <f>_xlfn.XLOOKUP(tb_Resumo[[#This Row],[SKU]], tb_Cadastro[SKU], tb_Cadastro[Preço])</f>
        <v>506.5</v>
      </c>
      <c r="D80" s="8">
        <f>SUMIFS(tb_Entrada[Quantidade], tb_Entrada[SKU], tb_Resumo[[#This Row],[SKU]])</f>
        <v>291</v>
      </c>
      <c r="E80" s="8">
        <f>SUMIFS(tb_Saida[Quantidade], tb_Saida[SKU], tb_Resumo[[#This Row],[SKU]])</f>
        <v>70</v>
      </c>
      <c r="F80" s="8">
        <f>tb_Resumo[[#This Row],[Qntd Entradas]]-tb_Resumo[[#This Row],[Qntd Saídas]]</f>
        <v>221</v>
      </c>
      <c r="G80" s="9">
        <f>tb_Resumo[[#This Row],[Saldo Atual]]*tb_Resumo[[#This Row],[Preço]]</f>
        <v>111936.5</v>
      </c>
      <c r="H80" s="8" t="str" cm="1">
        <f t="array" ref="H8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1" spans="1:8" x14ac:dyDescent="0.25">
      <c r="A81" t="s">
        <v>100</v>
      </c>
      <c r="B81" t="str">
        <f>_xlfn.XLOOKUP(tb_Resumo[[#This Row],[SKU]], tb_Cadastro[SKU], tb_Cadastro[Categoria])</f>
        <v>Armazenamento</v>
      </c>
      <c r="C81" s="9">
        <f>_xlfn.XLOOKUP(tb_Resumo[[#This Row],[SKU]], tb_Cadastro[SKU], tb_Cadastro[Preço])</f>
        <v>549.75</v>
      </c>
      <c r="D81" s="8">
        <f>SUMIFS(tb_Entrada[Quantidade], tb_Entrada[SKU], tb_Resumo[[#This Row],[SKU]])</f>
        <v>223</v>
      </c>
      <c r="E81" s="8">
        <f>SUMIFS(tb_Saida[Quantidade], tb_Saida[SKU], tb_Resumo[[#This Row],[SKU]])</f>
        <v>0</v>
      </c>
      <c r="F81" s="8">
        <f>tb_Resumo[[#This Row],[Qntd Entradas]]-tb_Resumo[[#This Row],[Qntd Saídas]]</f>
        <v>223</v>
      </c>
      <c r="G81" s="9">
        <f>tb_Resumo[[#This Row],[Saldo Atual]]*tb_Resumo[[#This Row],[Preço]]</f>
        <v>122594.25</v>
      </c>
      <c r="H81" s="8" t="str" cm="1">
        <f t="array" ref="H8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2" spans="1:8" x14ac:dyDescent="0.25">
      <c r="A82" t="s">
        <v>55</v>
      </c>
      <c r="B82" t="str">
        <f>_xlfn.XLOOKUP(tb_Resumo[[#This Row],[SKU]], tb_Cadastro[SKU], tb_Cadastro[Categoria])</f>
        <v>Armazenamento</v>
      </c>
      <c r="C82" s="9">
        <f>_xlfn.XLOOKUP(tb_Resumo[[#This Row],[SKU]], tb_Cadastro[SKU], tb_Cadastro[Preço])</f>
        <v>919.26</v>
      </c>
      <c r="D82" s="8">
        <f>SUMIFS(tb_Entrada[Quantidade], tb_Entrada[SKU], tb_Resumo[[#This Row],[SKU]])</f>
        <v>324</v>
      </c>
      <c r="E82" s="8">
        <f>SUMIFS(tb_Saida[Quantidade], tb_Saida[SKU], tb_Resumo[[#This Row],[SKU]])</f>
        <v>95</v>
      </c>
      <c r="F82" s="8">
        <f>tb_Resumo[[#This Row],[Qntd Entradas]]-tb_Resumo[[#This Row],[Qntd Saídas]]</f>
        <v>229</v>
      </c>
      <c r="G82" s="9">
        <f>tb_Resumo[[#This Row],[Saldo Atual]]*tb_Resumo[[#This Row],[Preço]]</f>
        <v>210510.54</v>
      </c>
      <c r="H82" s="8" t="str" cm="1">
        <f t="array" ref="H8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3" spans="1:8" x14ac:dyDescent="0.25">
      <c r="A83" t="s">
        <v>137</v>
      </c>
      <c r="B83" t="str">
        <f>_xlfn.XLOOKUP(tb_Resumo[[#This Row],[SKU]], tb_Cadastro[SKU], tb_Cadastro[Categoria])</f>
        <v>Componentes</v>
      </c>
      <c r="C83" s="9">
        <f>_xlfn.XLOOKUP(tb_Resumo[[#This Row],[SKU]], tb_Cadastro[SKU], tb_Cadastro[Preço])</f>
        <v>793.28</v>
      </c>
      <c r="D83" s="8">
        <f>SUMIFS(tb_Entrada[Quantidade], tb_Entrada[SKU], tb_Resumo[[#This Row],[SKU]])</f>
        <v>418</v>
      </c>
      <c r="E83" s="8">
        <f>SUMIFS(tb_Saida[Quantidade], tb_Saida[SKU], tb_Resumo[[#This Row],[SKU]])</f>
        <v>186</v>
      </c>
      <c r="F83" s="8">
        <f>tb_Resumo[[#This Row],[Qntd Entradas]]-tb_Resumo[[#This Row],[Qntd Saídas]]</f>
        <v>232</v>
      </c>
      <c r="G83" s="9">
        <f>tb_Resumo[[#This Row],[Saldo Atual]]*tb_Resumo[[#This Row],[Preço]]</f>
        <v>184040.95999999999</v>
      </c>
      <c r="H83" s="8" t="str" cm="1">
        <f t="array" ref="H8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4" spans="1:8" x14ac:dyDescent="0.25">
      <c r="A84" t="s">
        <v>93</v>
      </c>
      <c r="B84" t="str">
        <f>_xlfn.XLOOKUP(tb_Resumo[[#This Row],[SKU]], tb_Cadastro[SKU], tb_Cadastro[Categoria])</f>
        <v>Periféricos</v>
      </c>
      <c r="C84" s="9">
        <f>_xlfn.XLOOKUP(tb_Resumo[[#This Row],[SKU]], tb_Cadastro[SKU], tb_Cadastro[Preço])</f>
        <v>670.72</v>
      </c>
      <c r="D84" s="8">
        <f>SUMIFS(tb_Entrada[Quantidade], tb_Entrada[SKU], tb_Resumo[[#This Row],[SKU]])</f>
        <v>552</v>
      </c>
      <c r="E84" s="8">
        <f>SUMIFS(tb_Saida[Quantidade], tb_Saida[SKU], tb_Resumo[[#This Row],[SKU]])</f>
        <v>316</v>
      </c>
      <c r="F84" s="8">
        <f>tb_Resumo[[#This Row],[Qntd Entradas]]-tb_Resumo[[#This Row],[Qntd Saídas]]</f>
        <v>236</v>
      </c>
      <c r="G84" s="9">
        <f>tb_Resumo[[#This Row],[Saldo Atual]]*tb_Resumo[[#This Row],[Preço]]</f>
        <v>158289.92000000001</v>
      </c>
      <c r="H84" s="8" t="str" cm="1">
        <f t="array" ref="H8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5" spans="1:8" x14ac:dyDescent="0.25">
      <c r="A85" t="s">
        <v>113</v>
      </c>
      <c r="B85" t="str">
        <f>_xlfn.XLOOKUP(tb_Resumo[[#This Row],[SKU]], tb_Cadastro[SKU], tb_Cadastro[Categoria])</f>
        <v>Armazenamento</v>
      </c>
      <c r="C85" s="9">
        <f>_xlfn.XLOOKUP(tb_Resumo[[#This Row],[SKU]], tb_Cadastro[SKU], tb_Cadastro[Preço])</f>
        <v>143.22</v>
      </c>
      <c r="D85" s="8">
        <f>SUMIFS(tb_Entrada[Quantidade], tb_Entrada[SKU], tb_Resumo[[#This Row],[SKU]])</f>
        <v>436</v>
      </c>
      <c r="E85" s="8">
        <f>SUMIFS(tb_Saida[Quantidade], tb_Saida[SKU], tb_Resumo[[#This Row],[SKU]])</f>
        <v>197</v>
      </c>
      <c r="F85" s="8">
        <f>tb_Resumo[[#This Row],[Qntd Entradas]]-tb_Resumo[[#This Row],[Qntd Saídas]]</f>
        <v>239</v>
      </c>
      <c r="G85" s="9">
        <f>tb_Resumo[[#This Row],[Saldo Atual]]*tb_Resumo[[#This Row],[Preço]]</f>
        <v>34229.58</v>
      </c>
      <c r="H85" s="8" t="str" cm="1">
        <f t="array" ref="H8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6" spans="1:8" x14ac:dyDescent="0.25">
      <c r="A86" t="s">
        <v>64</v>
      </c>
      <c r="B86" t="str">
        <f>_xlfn.XLOOKUP(tb_Resumo[[#This Row],[SKU]], tb_Cadastro[SKU], tb_Cadastro[Categoria])</f>
        <v>Redes</v>
      </c>
      <c r="C86" s="9">
        <f>_xlfn.XLOOKUP(tb_Resumo[[#This Row],[SKU]], tb_Cadastro[SKU], tb_Cadastro[Preço])</f>
        <v>742.3</v>
      </c>
      <c r="D86" s="8">
        <f>SUMIFS(tb_Entrada[Quantidade], tb_Entrada[SKU], tb_Resumo[[#This Row],[SKU]])</f>
        <v>392</v>
      </c>
      <c r="E86" s="8">
        <f>SUMIFS(tb_Saida[Quantidade], tb_Saida[SKU], tb_Resumo[[#This Row],[SKU]])</f>
        <v>152</v>
      </c>
      <c r="F86" s="8">
        <f>tb_Resumo[[#This Row],[Qntd Entradas]]-tb_Resumo[[#This Row],[Qntd Saídas]]</f>
        <v>240</v>
      </c>
      <c r="G86" s="9">
        <f>tb_Resumo[[#This Row],[Saldo Atual]]*tb_Resumo[[#This Row],[Preço]]</f>
        <v>178152</v>
      </c>
      <c r="H86" s="8" t="str" cm="1">
        <f t="array" ref="H8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7" spans="1:8" x14ac:dyDescent="0.25">
      <c r="A87" t="s">
        <v>57</v>
      </c>
      <c r="B87" t="str">
        <f>_xlfn.XLOOKUP(tb_Resumo[[#This Row],[SKU]], tb_Cadastro[SKU], tb_Cadastro[Categoria])</f>
        <v>Hardware</v>
      </c>
      <c r="C87" s="9">
        <f>_xlfn.XLOOKUP(tb_Resumo[[#This Row],[SKU]], tb_Cadastro[SKU], tb_Cadastro[Preço])</f>
        <v>863.63</v>
      </c>
      <c r="D87" s="8">
        <f>SUMIFS(tb_Entrada[Quantidade], tb_Entrada[SKU], tb_Resumo[[#This Row],[SKU]])</f>
        <v>394</v>
      </c>
      <c r="E87" s="8">
        <f>SUMIFS(tb_Saida[Quantidade], tb_Saida[SKU], tb_Resumo[[#This Row],[SKU]])</f>
        <v>138</v>
      </c>
      <c r="F87" s="8">
        <f>tb_Resumo[[#This Row],[Qntd Entradas]]-tb_Resumo[[#This Row],[Qntd Saídas]]</f>
        <v>256</v>
      </c>
      <c r="G87" s="9">
        <f>tb_Resumo[[#This Row],[Saldo Atual]]*tb_Resumo[[#This Row],[Preço]]</f>
        <v>221089.28</v>
      </c>
      <c r="H87" s="8" t="str" cm="1">
        <f t="array" ref="H8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8" spans="1:8" x14ac:dyDescent="0.25">
      <c r="A88" t="s">
        <v>83</v>
      </c>
      <c r="B88" t="str">
        <f>_xlfn.XLOOKUP(tb_Resumo[[#This Row],[SKU]], tb_Cadastro[SKU], tb_Cadastro[Categoria])</f>
        <v>Acessórios</v>
      </c>
      <c r="C88" s="9">
        <f>_xlfn.XLOOKUP(tb_Resumo[[#This Row],[SKU]], tb_Cadastro[SKU], tb_Cadastro[Preço])</f>
        <v>818.42</v>
      </c>
      <c r="D88" s="8">
        <f>SUMIFS(tb_Entrada[Quantidade], tb_Entrada[SKU], tb_Resumo[[#This Row],[SKU]])</f>
        <v>410</v>
      </c>
      <c r="E88" s="8">
        <f>SUMIFS(tb_Saida[Quantidade], tb_Saida[SKU], tb_Resumo[[#This Row],[SKU]])</f>
        <v>154</v>
      </c>
      <c r="F88" s="8">
        <f>tb_Resumo[[#This Row],[Qntd Entradas]]-tb_Resumo[[#This Row],[Qntd Saídas]]</f>
        <v>256</v>
      </c>
      <c r="G88" s="9">
        <f>tb_Resumo[[#This Row],[Saldo Atual]]*tb_Resumo[[#This Row],[Preço]]</f>
        <v>209515.51999999999</v>
      </c>
      <c r="H88" s="8" t="str" cm="1">
        <f t="array" ref="H8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89" spans="1:8" x14ac:dyDescent="0.25">
      <c r="A89" t="s">
        <v>60</v>
      </c>
      <c r="B89" t="str">
        <f>_xlfn.XLOOKUP(tb_Resumo[[#This Row],[SKU]], tb_Cadastro[SKU], tb_Cadastro[Categoria])</f>
        <v>Redes</v>
      </c>
      <c r="C89" s="9">
        <f>_xlfn.XLOOKUP(tb_Resumo[[#This Row],[SKU]], tb_Cadastro[SKU], tb_Cadastro[Preço])</f>
        <v>652.16999999999996</v>
      </c>
      <c r="D89" s="8">
        <f>SUMIFS(tb_Entrada[Quantidade], tb_Entrada[SKU], tb_Resumo[[#This Row],[SKU]])</f>
        <v>347</v>
      </c>
      <c r="E89" s="8">
        <f>SUMIFS(tb_Saida[Quantidade], tb_Saida[SKU], tb_Resumo[[#This Row],[SKU]])</f>
        <v>89</v>
      </c>
      <c r="F89" s="8">
        <f>tb_Resumo[[#This Row],[Qntd Entradas]]-tb_Resumo[[#This Row],[Qntd Saídas]]</f>
        <v>258</v>
      </c>
      <c r="G89" s="9">
        <f>tb_Resumo[[#This Row],[Saldo Atual]]*tb_Resumo[[#This Row],[Preço]]</f>
        <v>168259.86</v>
      </c>
      <c r="H89" s="8" t="str" cm="1">
        <f t="array" ref="H8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0" spans="1:8" x14ac:dyDescent="0.25">
      <c r="A90" t="s">
        <v>7</v>
      </c>
      <c r="B90" t="str">
        <f>_xlfn.XLOOKUP(tb_Resumo[[#This Row],[SKU]], tb_Cadastro[SKU], tb_Cadastro[Categoria])</f>
        <v>Componentes</v>
      </c>
      <c r="C90" s="9">
        <f>_xlfn.XLOOKUP(tb_Resumo[[#This Row],[SKU]], tb_Cadastro[SKU], tb_Cadastro[Preço])</f>
        <v>238.68</v>
      </c>
      <c r="D90" s="8">
        <f>SUMIFS(tb_Entrada[Quantidade], tb_Entrada[SKU], tb_Resumo[[#This Row],[SKU]])</f>
        <v>317</v>
      </c>
      <c r="E90" s="8">
        <f>SUMIFS(tb_Saida[Quantidade], tb_Saida[SKU], tb_Resumo[[#This Row],[SKU]])</f>
        <v>55</v>
      </c>
      <c r="F90" s="8">
        <f>tb_Resumo[[#This Row],[Qntd Entradas]]-tb_Resumo[[#This Row],[Qntd Saídas]]</f>
        <v>262</v>
      </c>
      <c r="G90" s="9">
        <f>tb_Resumo[[#This Row],[Saldo Atual]]*tb_Resumo[[#This Row],[Preço]]</f>
        <v>62534.16</v>
      </c>
      <c r="H90" s="8" t="str" cm="1">
        <f t="array" ref="H9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1" spans="1:8" x14ac:dyDescent="0.25">
      <c r="A91" t="s">
        <v>126</v>
      </c>
      <c r="B91" t="str">
        <f>_xlfn.XLOOKUP(tb_Resumo[[#This Row],[SKU]], tb_Cadastro[SKU], tb_Cadastro[Categoria])</f>
        <v>Componentes</v>
      </c>
      <c r="C91" s="9">
        <f>_xlfn.XLOOKUP(tb_Resumo[[#This Row],[SKU]], tb_Cadastro[SKU], tb_Cadastro[Preço])</f>
        <v>705.93</v>
      </c>
      <c r="D91" s="8">
        <f>SUMIFS(tb_Entrada[Quantidade], tb_Entrada[SKU], tb_Resumo[[#This Row],[SKU]])</f>
        <v>402</v>
      </c>
      <c r="E91" s="8">
        <f>SUMIFS(tb_Saida[Quantidade], tb_Saida[SKU], tb_Resumo[[#This Row],[SKU]])</f>
        <v>137</v>
      </c>
      <c r="F91" s="8">
        <f>tb_Resumo[[#This Row],[Qntd Entradas]]-tb_Resumo[[#This Row],[Qntd Saídas]]</f>
        <v>265</v>
      </c>
      <c r="G91" s="9">
        <f>tb_Resumo[[#This Row],[Saldo Atual]]*tb_Resumo[[#This Row],[Preço]]</f>
        <v>187071.44999999998</v>
      </c>
      <c r="H91" s="8" t="str" cm="1">
        <f t="array" ref="H9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2" spans="1:8" x14ac:dyDescent="0.25">
      <c r="A92" t="s">
        <v>4</v>
      </c>
      <c r="B92" t="str">
        <f>_xlfn.XLOOKUP(tb_Resumo[[#This Row],[SKU]], tb_Cadastro[SKU], tb_Cadastro[Categoria])</f>
        <v>Imagem e Som</v>
      </c>
      <c r="C92" s="9">
        <f>_xlfn.XLOOKUP(tb_Resumo[[#This Row],[SKU]], tb_Cadastro[SKU], tb_Cadastro[Preço])</f>
        <v>802.36</v>
      </c>
      <c r="D92" s="8">
        <f>SUMIFS(tb_Entrada[Quantidade], tb_Entrada[SKU], tb_Resumo[[#This Row],[SKU]])</f>
        <v>416</v>
      </c>
      <c r="E92" s="8">
        <f>SUMIFS(tb_Saida[Quantidade], tb_Saida[SKU], tb_Resumo[[#This Row],[SKU]])</f>
        <v>138</v>
      </c>
      <c r="F92" s="8">
        <f>tb_Resumo[[#This Row],[Qntd Entradas]]-tb_Resumo[[#This Row],[Qntd Saídas]]</f>
        <v>278</v>
      </c>
      <c r="G92" s="9">
        <f>tb_Resumo[[#This Row],[Saldo Atual]]*tb_Resumo[[#This Row],[Preço]]</f>
        <v>223056.08000000002</v>
      </c>
      <c r="H92" s="8" t="str" cm="1">
        <f t="array" ref="H9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3" spans="1:8" x14ac:dyDescent="0.25">
      <c r="A93" t="s">
        <v>106</v>
      </c>
      <c r="B93" t="str">
        <f>_xlfn.XLOOKUP(tb_Resumo[[#This Row],[SKU]], tb_Cadastro[SKU], tb_Cadastro[Categoria])</f>
        <v>Componentes</v>
      </c>
      <c r="C93" s="9">
        <f>_xlfn.XLOOKUP(tb_Resumo[[#This Row],[SKU]], tb_Cadastro[SKU], tb_Cadastro[Preço])</f>
        <v>143.75</v>
      </c>
      <c r="D93" s="8">
        <f>SUMIFS(tb_Entrada[Quantidade], tb_Entrada[SKU], tb_Resumo[[#This Row],[SKU]])</f>
        <v>297</v>
      </c>
      <c r="E93" s="8">
        <f>SUMIFS(tb_Saida[Quantidade], tb_Saida[SKU], tb_Resumo[[#This Row],[SKU]])</f>
        <v>17</v>
      </c>
      <c r="F93" s="8">
        <f>tb_Resumo[[#This Row],[Qntd Entradas]]-tb_Resumo[[#This Row],[Qntd Saídas]]</f>
        <v>280</v>
      </c>
      <c r="G93" s="9">
        <f>tb_Resumo[[#This Row],[Saldo Atual]]*tb_Resumo[[#This Row],[Preço]]</f>
        <v>40250</v>
      </c>
      <c r="H93" s="8" t="str" cm="1">
        <f t="array" ref="H9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4" spans="1:8" x14ac:dyDescent="0.25">
      <c r="A94" t="s">
        <v>114</v>
      </c>
      <c r="B94" t="str">
        <f>_xlfn.XLOOKUP(tb_Resumo[[#This Row],[SKU]], tb_Cadastro[SKU], tb_Cadastro[Categoria])</f>
        <v>Periféricos</v>
      </c>
      <c r="C94" s="9">
        <f>_xlfn.XLOOKUP(tb_Resumo[[#This Row],[SKU]], tb_Cadastro[SKU], tb_Cadastro[Preço])</f>
        <v>405.92</v>
      </c>
      <c r="D94" s="8">
        <f>SUMIFS(tb_Entrada[Quantidade], tb_Entrada[SKU], tb_Resumo[[#This Row],[SKU]])</f>
        <v>413</v>
      </c>
      <c r="E94" s="8">
        <f>SUMIFS(tb_Saida[Quantidade], tb_Saida[SKU], tb_Resumo[[#This Row],[SKU]])</f>
        <v>132</v>
      </c>
      <c r="F94" s="8">
        <f>tb_Resumo[[#This Row],[Qntd Entradas]]-tb_Resumo[[#This Row],[Qntd Saídas]]</f>
        <v>281</v>
      </c>
      <c r="G94" s="9">
        <f>tb_Resumo[[#This Row],[Saldo Atual]]*tb_Resumo[[#This Row],[Preço]]</f>
        <v>114063.52</v>
      </c>
      <c r="H94" s="8" t="str" cm="1">
        <f t="array" ref="H9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5" spans="1:8" x14ac:dyDescent="0.25">
      <c r="A95" t="s">
        <v>33</v>
      </c>
      <c r="B95" t="str">
        <f>_xlfn.XLOOKUP(tb_Resumo[[#This Row],[SKU]], tb_Cadastro[SKU], tb_Cadastro[Categoria])</f>
        <v>Hardware</v>
      </c>
      <c r="C95" s="9">
        <f>_xlfn.XLOOKUP(tb_Resumo[[#This Row],[SKU]], tb_Cadastro[SKU], tb_Cadastro[Preço])</f>
        <v>401.23</v>
      </c>
      <c r="D95" s="8">
        <f>SUMIFS(tb_Entrada[Quantidade], tb_Entrada[SKU], tb_Resumo[[#This Row],[SKU]])</f>
        <v>303</v>
      </c>
      <c r="E95" s="8">
        <f>SUMIFS(tb_Saida[Quantidade], tb_Saida[SKU], tb_Resumo[[#This Row],[SKU]])</f>
        <v>13</v>
      </c>
      <c r="F95" s="8">
        <f>tb_Resumo[[#This Row],[Qntd Entradas]]-tb_Resumo[[#This Row],[Qntd Saídas]]</f>
        <v>290</v>
      </c>
      <c r="G95" s="9">
        <f>tb_Resumo[[#This Row],[Saldo Atual]]*tb_Resumo[[#This Row],[Preço]]</f>
        <v>116356.70000000001</v>
      </c>
      <c r="H95" s="8" t="str" cm="1">
        <f t="array" ref="H9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6" spans="1:8" x14ac:dyDescent="0.25">
      <c r="A96" t="s">
        <v>131</v>
      </c>
      <c r="B96" t="str">
        <f>_xlfn.XLOOKUP(tb_Resumo[[#This Row],[SKU]], tb_Cadastro[SKU], tb_Cadastro[Categoria])</f>
        <v>Redes</v>
      </c>
      <c r="C96" s="9">
        <f>_xlfn.XLOOKUP(tb_Resumo[[#This Row],[SKU]], tb_Cadastro[SKU], tb_Cadastro[Preço])</f>
        <v>551.52</v>
      </c>
      <c r="D96" s="8">
        <f>SUMIFS(tb_Entrada[Quantidade], tb_Entrada[SKU], tb_Resumo[[#This Row],[SKU]])</f>
        <v>313</v>
      </c>
      <c r="E96" s="8">
        <f>SUMIFS(tb_Saida[Quantidade], tb_Saida[SKU], tb_Resumo[[#This Row],[SKU]])</f>
        <v>23</v>
      </c>
      <c r="F96" s="8">
        <f>tb_Resumo[[#This Row],[Qntd Entradas]]-tb_Resumo[[#This Row],[Qntd Saídas]]</f>
        <v>290</v>
      </c>
      <c r="G96" s="9">
        <f>tb_Resumo[[#This Row],[Saldo Atual]]*tb_Resumo[[#This Row],[Preço]]</f>
        <v>159940.79999999999</v>
      </c>
      <c r="H96" s="8" t="str" cm="1">
        <f t="array" ref="H9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7" spans="1:8" x14ac:dyDescent="0.25">
      <c r="A97" t="s">
        <v>132</v>
      </c>
      <c r="B97" t="str">
        <f>_xlfn.XLOOKUP(tb_Resumo[[#This Row],[SKU]], tb_Cadastro[SKU], tb_Cadastro[Categoria])</f>
        <v>Periféricos</v>
      </c>
      <c r="C97" s="9">
        <f>_xlfn.XLOOKUP(tb_Resumo[[#This Row],[SKU]], tb_Cadastro[SKU], tb_Cadastro[Preço])</f>
        <v>302.33999999999997</v>
      </c>
      <c r="D97" s="8">
        <f>SUMIFS(tb_Entrada[Quantidade], tb_Entrada[SKU], tb_Resumo[[#This Row],[SKU]])</f>
        <v>439</v>
      </c>
      <c r="E97" s="8">
        <f>SUMIFS(tb_Saida[Quantidade], tb_Saida[SKU], tb_Resumo[[#This Row],[SKU]])</f>
        <v>147</v>
      </c>
      <c r="F97" s="8">
        <f>tb_Resumo[[#This Row],[Qntd Entradas]]-tb_Resumo[[#This Row],[Qntd Saídas]]</f>
        <v>292</v>
      </c>
      <c r="G97" s="9">
        <f>tb_Resumo[[#This Row],[Saldo Atual]]*tb_Resumo[[#This Row],[Preço]]</f>
        <v>88283.28</v>
      </c>
      <c r="H97" s="8" t="str" cm="1">
        <f t="array" ref="H9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8" spans="1:8" x14ac:dyDescent="0.25">
      <c r="A98" t="s">
        <v>42</v>
      </c>
      <c r="B98" t="str">
        <f>_xlfn.XLOOKUP(tb_Resumo[[#This Row],[SKU]], tb_Cadastro[SKU], tb_Cadastro[Categoria])</f>
        <v>Acessórios</v>
      </c>
      <c r="C98" s="9">
        <f>_xlfn.XLOOKUP(tb_Resumo[[#This Row],[SKU]], tb_Cadastro[SKU], tb_Cadastro[Preço])</f>
        <v>560.16</v>
      </c>
      <c r="D98" s="8">
        <f>SUMIFS(tb_Entrada[Quantidade], tb_Entrada[SKU], tb_Resumo[[#This Row],[SKU]])</f>
        <v>495</v>
      </c>
      <c r="E98" s="8">
        <f>SUMIFS(tb_Saida[Quantidade], tb_Saida[SKU], tb_Resumo[[#This Row],[SKU]])</f>
        <v>201</v>
      </c>
      <c r="F98" s="8">
        <f>tb_Resumo[[#This Row],[Qntd Entradas]]-tb_Resumo[[#This Row],[Qntd Saídas]]</f>
        <v>294</v>
      </c>
      <c r="G98" s="9">
        <f>tb_Resumo[[#This Row],[Saldo Atual]]*tb_Resumo[[#This Row],[Preço]]</f>
        <v>164687.03999999998</v>
      </c>
      <c r="H98" s="8" t="str" cm="1">
        <f t="array" ref="H9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99" spans="1:8" x14ac:dyDescent="0.25">
      <c r="A99" t="s">
        <v>12</v>
      </c>
      <c r="B99" t="str">
        <f>_xlfn.XLOOKUP(tb_Resumo[[#This Row],[SKU]], tb_Cadastro[SKU], tb_Cadastro[Categoria])</f>
        <v>Imagem e Som</v>
      </c>
      <c r="C99" s="9">
        <f>_xlfn.XLOOKUP(tb_Resumo[[#This Row],[SKU]], tb_Cadastro[SKU], tb_Cadastro[Preço])</f>
        <v>200.74</v>
      </c>
      <c r="D99" s="8">
        <f>SUMIFS(tb_Entrada[Quantidade], tb_Entrada[SKU], tb_Resumo[[#This Row],[SKU]])</f>
        <v>428</v>
      </c>
      <c r="E99" s="8">
        <f>SUMIFS(tb_Saida[Quantidade], tb_Saida[SKU], tb_Resumo[[#This Row],[SKU]])</f>
        <v>133</v>
      </c>
      <c r="F99" s="8">
        <f>tb_Resumo[[#This Row],[Qntd Entradas]]-tb_Resumo[[#This Row],[Qntd Saídas]]</f>
        <v>295</v>
      </c>
      <c r="G99" s="9">
        <f>tb_Resumo[[#This Row],[Saldo Atual]]*tb_Resumo[[#This Row],[Preço]]</f>
        <v>59218.3</v>
      </c>
      <c r="H99" s="8" t="str" cm="1">
        <f t="array" ref="H9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0" spans="1:8" x14ac:dyDescent="0.25">
      <c r="A100" t="s">
        <v>88</v>
      </c>
      <c r="B100" t="str">
        <f>_xlfn.XLOOKUP(tb_Resumo[[#This Row],[SKU]], tb_Cadastro[SKU], tb_Cadastro[Categoria])</f>
        <v>Redes</v>
      </c>
      <c r="C100" s="9">
        <f>_xlfn.XLOOKUP(tb_Resumo[[#This Row],[SKU]], tb_Cadastro[SKU], tb_Cadastro[Preço])</f>
        <v>823.71</v>
      </c>
      <c r="D100" s="8">
        <f>SUMIFS(tb_Entrada[Quantidade], tb_Entrada[SKU], tb_Resumo[[#This Row],[SKU]])</f>
        <v>404</v>
      </c>
      <c r="E100" s="8">
        <f>SUMIFS(tb_Saida[Quantidade], tb_Saida[SKU], tb_Resumo[[#This Row],[SKU]])</f>
        <v>108</v>
      </c>
      <c r="F100" s="8">
        <f>tb_Resumo[[#This Row],[Qntd Entradas]]-tb_Resumo[[#This Row],[Qntd Saídas]]</f>
        <v>296</v>
      </c>
      <c r="G100" s="9">
        <f>tb_Resumo[[#This Row],[Saldo Atual]]*tb_Resumo[[#This Row],[Preço]]</f>
        <v>243818.16</v>
      </c>
      <c r="H100" s="8" t="str" cm="1">
        <f t="array" ref="H10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1" spans="1:8" x14ac:dyDescent="0.25">
      <c r="A101" t="s">
        <v>38</v>
      </c>
      <c r="B101" t="str">
        <f>_xlfn.XLOOKUP(tb_Resumo[[#This Row],[SKU]], tb_Cadastro[SKU], tb_Cadastro[Categoria])</f>
        <v>Armazenamento</v>
      </c>
      <c r="C101" s="9">
        <f>_xlfn.XLOOKUP(tb_Resumo[[#This Row],[SKU]], tb_Cadastro[SKU], tb_Cadastro[Preço])</f>
        <v>477.8</v>
      </c>
      <c r="D101" s="8">
        <f>SUMIFS(tb_Entrada[Quantidade], tb_Entrada[SKU], tb_Resumo[[#This Row],[SKU]])</f>
        <v>388</v>
      </c>
      <c r="E101" s="8">
        <f>SUMIFS(tb_Saida[Quantidade], tb_Saida[SKU], tb_Resumo[[#This Row],[SKU]])</f>
        <v>81</v>
      </c>
      <c r="F101" s="8">
        <f>tb_Resumo[[#This Row],[Qntd Entradas]]-tb_Resumo[[#This Row],[Qntd Saídas]]</f>
        <v>307</v>
      </c>
      <c r="G101" s="9">
        <f>tb_Resumo[[#This Row],[Saldo Atual]]*tb_Resumo[[#This Row],[Preço]]</f>
        <v>146684.6</v>
      </c>
      <c r="H101" s="8" t="str" cm="1">
        <f t="array" ref="H10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2" spans="1:8" x14ac:dyDescent="0.25">
      <c r="A102" t="s">
        <v>103</v>
      </c>
      <c r="B102" t="str">
        <f>_xlfn.XLOOKUP(tb_Resumo[[#This Row],[SKU]], tb_Cadastro[SKU], tb_Cadastro[Categoria])</f>
        <v>Redes</v>
      </c>
      <c r="C102" s="9">
        <f>_xlfn.XLOOKUP(tb_Resumo[[#This Row],[SKU]], tb_Cadastro[SKU], tb_Cadastro[Preço])</f>
        <v>306.2</v>
      </c>
      <c r="D102" s="8">
        <f>SUMIFS(tb_Entrada[Quantidade], tb_Entrada[SKU], tb_Resumo[[#This Row],[SKU]])</f>
        <v>447</v>
      </c>
      <c r="E102" s="8">
        <f>SUMIFS(tb_Saida[Quantidade], tb_Saida[SKU], tb_Resumo[[#This Row],[SKU]])</f>
        <v>131</v>
      </c>
      <c r="F102" s="8">
        <f>tb_Resumo[[#This Row],[Qntd Entradas]]-tb_Resumo[[#This Row],[Qntd Saídas]]</f>
        <v>316</v>
      </c>
      <c r="G102" s="9">
        <f>tb_Resumo[[#This Row],[Saldo Atual]]*tb_Resumo[[#This Row],[Preço]]</f>
        <v>96759.2</v>
      </c>
      <c r="H102" s="8" t="str" cm="1">
        <f t="array" ref="H10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3" spans="1:8" x14ac:dyDescent="0.25">
      <c r="A103" t="s">
        <v>47</v>
      </c>
      <c r="B103" t="str">
        <f>_xlfn.XLOOKUP(tb_Resumo[[#This Row],[SKU]], tb_Cadastro[SKU], tb_Cadastro[Categoria])</f>
        <v>Hardware</v>
      </c>
      <c r="C103" s="9">
        <f>_xlfn.XLOOKUP(tb_Resumo[[#This Row],[SKU]], tb_Cadastro[SKU], tb_Cadastro[Preço])</f>
        <v>536.84</v>
      </c>
      <c r="D103" s="8">
        <f>SUMIFS(tb_Entrada[Quantidade], tb_Entrada[SKU], tb_Resumo[[#This Row],[SKU]])</f>
        <v>376</v>
      </c>
      <c r="E103" s="8">
        <f>SUMIFS(tb_Saida[Quantidade], tb_Saida[SKU], tb_Resumo[[#This Row],[SKU]])</f>
        <v>57</v>
      </c>
      <c r="F103" s="8">
        <f>tb_Resumo[[#This Row],[Qntd Entradas]]-tb_Resumo[[#This Row],[Qntd Saídas]]</f>
        <v>319</v>
      </c>
      <c r="G103" s="9">
        <f>tb_Resumo[[#This Row],[Saldo Atual]]*tb_Resumo[[#This Row],[Preço]]</f>
        <v>171251.96000000002</v>
      </c>
      <c r="H103" s="8" t="str" cm="1">
        <f t="array" ref="H10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4" spans="1:8" x14ac:dyDescent="0.25">
      <c r="A104" t="s">
        <v>63</v>
      </c>
      <c r="B104" t="str">
        <f>_xlfn.XLOOKUP(tb_Resumo[[#This Row],[SKU]], tb_Cadastro[SKU], tb_Cadastro[Categoria])</f>
        <v>Hardware</v>
      </c>
      <c r="C104" s="9">
        <f>_xlfn.XLOOKUP(tb_Resumo[[#This Row],[SKU]], tb_Cadastro[SKU], tb_Cadastro[Preço])</f>
        <v>482.7</v>
      </c>
      <c r="D104" s="8">
        <f>SUMIFS(tb_Entrada[Quantidade], tb_Entrada[SKU], tb_Resumo[[#This Row],[SKU]])</f>
        <v>657</v>
      </c>
      <c r="E104" s="8">
        <f>SUMIFS(tb_Saida[Quantidade], tb_Saida[SKU], tb_Resumo[[#This Row],[SKU]])</f>
        <v>338</v>
      </c>
      <c r="F104" s="8">
        <f>tb_Resumo[[#This Row],[Qntd Entradas]]-tb_Resumo[[#This Row],[Qntd Saídas]]</f>
        <v>319</v>
      </c>
      <c r="G104" s="9">
        <f>tb_Resumo[[#This Row],[Saldo Atual]]*tb_Resumo[[#This Row],[Preço]]</f>
        <v>153981.29999999999</v>
      </c>
      <c r="H104" s="8" t="str" cm="1">
        <f t="array" ref="H10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5" spans="1:8" x14ac:dyDescent="0.25">
      <c r="A105" t="s">
        <v>96</v>
      </c>
      <c r="B105" t="str">
        <f>_xlfn.XLOOKUP(tb_Resumo[[#This Row],[SKU]], tb_Cadastro[SKU], tb_Cadastro[Categoria])</f>
        <v>Redes</v>
      </c>
      <c r="C105" s="9">
        <f>_xlfn.XLOOKUP(tb_Resumo[[#This Row],[SKU]], tb_Cadastro[SKU], tb_Cadastro[Preço])</f>
        <v>363.9</v>
      </c>
      <c r="D105" s="8">
        <f>SUMIFS(tb_Entrada[Quantidade], tb_Entrada[SKU], tb_Resumo[[#This Row],[SKU]])</f>
        <v>523</v>
      </c>
      <c r="E105" s="8">
        <f>SUMIFS(tb_Saida[Quantidade], tb_Saida[SKU], tb_Resumo[[#This Row],[SKU]])</f>
        <v>179</v>
      </c>
      <c r="F105" s="8">
        <f>tb_Resumo[[#This Row],[Qntd Entradas]]-tb_Resumo[[#This Row],[Qntd Saídas]]</f>
        <v>344</v>
      </c>
      <c r="G105" s="9">
        <f>tb_Resumo[[#This Row],[Saldo Atual]]*tb_Resumo[[#This Row],[Preço]]</f>
        <v>125181.59999999999</v>
      </c>
      <c r="H105" s="8" t="str" cm="1">
        <f t="array" ref="H10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6" spans="1:8" x14ac:dyDescent="0.25">
      <c r="A106" t="s">
        <v>45</v>
      </c>
      <c r="B106" t="str">
        <f>_xlfn.XLOOKUP(tb_Resumo[[#This Row],[SKU]], tb_Cadastro[SKU], tb_Cadastro[Categoria])</f>
        <v>Redes</v>
      </c>
      <c r="C106" s="9">
        <f>_xlfn.XLOOKUP(tb_Resumo[[#This Row],[SKU]], tb_Cadastro[SKU], tb_Cadastro[Preço])</f>
        <v>977.6</v>
      </c>
      <c r="D106" s="8">
        <f>SUMIFS(tb_Entrada[Quantidade], tb_Entrada[SKU], tb_Resumo[[#This Row],[SKU]])</f>
        <v>594</v>
      </c>
      <c r="E106" s="8">
        <f>SUMIFS(tb_Saida[Quantidade], tb_Saida[SKU], tb_Resumo[[#This Row],[SKU]])</f>
        <v>246</v>
      </c>
      <c r="F106" s="8">
        <f>tb_Resumo[[#This Row],[Qntd Entradas]]-tb_Resumo[[#This Row],[Qntd Saídas]]</f>
        <v>348</v>
      </c>
      <c r="G106" s="9">
        <f>tb_Resumo[[#This Row],[Saldo Atual]]*tb_Resumo[[#This Row],[Preço]]</f>
        <v>340204.79999999999</v>
      </c>
      <c r="H106" s="8" t="str" cm="1">
        <f t="array" ref="H10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7" spans="1:8" x14ac:dyDescent="0.25">
      <c r="A107" t="s">
        <v>91</v>
      </c>
      <c r="B107" t="str">
        <f>_xlfn.XLOOKUP(tb_Resumo[[#This Row],[SKU]], tb_Cadastro[SKU], tb_Cadastro[Categoria])</f>
        <v>Hardware</v>
      </c>
      <c r="C107" s="9">
        <f>_xlfn.XLOOKUP(tb_Resumo[[#This Row],[SKU]], tb_Cadastro[SKU], tb_Cadastro[Preço])</f>
        <v>479.4</v>
      </c>
      <c r="D107" s="8">
        <f>SUMIFS(tb_Entrada[Quantidade], tb_Entrada[SKU], tb_Resumo[[#This Row],[SKU]])</f>
        <v>414</v>
      </c>
      <c r="E107" s="8">
        <f>SUMIFS(tb_Saida[Quantidade], tb_Saida[SKU], tb_Resumo[[#This Row],[SKU]])</f>
        <v>66</v>
      </c>
      <c r="F107" s="8">
        <f>tb_Resumo[[#This Row],[Qntd Entradas]]-tb_Resumo[[#This Row],[Qntd Saídas]]</f>
        <v>348</v>
      </c>
      <c r="G107" s="9">
        <f>tb_Resumo[[#This Row],[Saldo Atual]]*tb_Resumo[[#This Row],[Preço]]</f>
        <v>166831.19999999998</v>
      </c>
      <c r="H107" s="8" t="str" cm="1">
        <f t="array" ref="H10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8" spans="1:8" x14ac:dyDescent="0.25">
      <c r="A108" t="s">
        <v>11</v>
      </c>
      <c r="B108" t="str">
        <f>_xlfn.XLOOKUP(tb_Resumo[[#This Row],[SKU]], tb_Cadastro[SKU], tb_Cadastro[Categoria])</f>
        <v>Hardware</v>
      </c>
      <c r="C108" s="9">
        <f>_xlfn.XLOOKUP(tb_Resumo[[#This Row],[SKU]], tb_Cadastro[SKU], tb_Cadastro[Preço])</f>
        <v>216.51</v>
      </c>
      <c r="D108" s="8">
        <f>SUMIFS(tb_Entrada[Quantidade], tb_Entrada[SKU], tb_Resumo[[#This Row],[SKU]])</f>
        <v>405</v>
      </c>
      <c r="E108" s="8">
        <f>SUMIFS(tb_Saida[Quantidade], tb_Saida[SKU], tb_Resumo[[#This Row],[SKU]])</f>
        <v>45</v>
      </c>
      <c r="F108" s="8">
        <f>tb_Resumo[[#This Row],[Qntd Entradas]]-tb_Resumo[[#This Row],[Qntd Saídas]]</f>
        <v>360</v>
      </c>
      <c r="G108" s="9">
        <f>tb_Resumo[[#This Row],[Saldo Atual]]*tb_Resumo[[#This Row],[Preço]]</f>
        <v>77943.599999999991</v>
      </c>
      <c r="H108" s="8" t="str" cm="1">
        <f t="array" ref="H10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09" spans="1:8" x14ac:dyDescent="0.25">
      <c r="A109" t="s">
        <v>58</v>
      </c>
      <c r="B109" t="str">
        <f>_xlfn.XLOOKUP(tb_Resumo[[#This Row],[SKU]], tb_Cadastro[SKU], tb_Cadastro[Categoria])</f>
        <v>Imagem e Som</v>
      </c>
      <c r="C109" s="9">
        <f>_xlfn.XLOOKUP(tb_Resumo[[#This Row],[SKU]], tb_Cadastro[SKU], tb_Cadastro[Preço])</f>
        <v>499.23</v>
      </c>
      <c r="D109" s="8">
        <f>SUMIFS(tb_Entrada[Quantidade], tb_Entrada[SKU], tb_Resumo[[#This Row],[SKU]])</f>
        <v>475</v>
      </c>
      <c r="E109" s="8">
        <f>SUMIFS(tb_Saida[Quantidade], tb_Saida[SKU], tb_Resumo[[#This Row],[SKU]])</f>
        <v>112</v>
      </c>
      <c r="F109" s="8">
        <f>tb_Resumo[[#This Row],[Qntd Entradas]]-tb_Resumo[[#This Row],[Qntd Saídas]]</f>
        <v>363</v>
      </c>
      <c r="G109" s="9">
        <f>tb_Resumo[[#This Row],[Saldo Atual]]*tb_Resumo[[#This Row],[Preço]]</f>
        <v>181220.49000000002</v>
      </c>
      <c r="H109" s="8" t="str" cm="1">
        <f t="array" ref="H10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0" spans="1:8" x14ac:dyDescent="0.25">
      <c r="A110" t="s">
        <v>43</v>
      </c>
      <c r="B110" t="str">
        <f>_xlfn.XLOOKUP(tb_Resumo[[#This Row],[SKU]], tb_Cadastro[SKU], tb_Cadastro[Categoria])</f>
        <v>Componentes</v>
      </c>
      <c r="C110" s="9">
        <f>_xlfn.XLOOKUP(tb_Resumo[[#This Row],[SKU]], tb_Cadastro[SKU], tb_Cadastro[Preço])</f>
        <v>92.41</v>
      </c>
      <c r="D110" s="8">
        <f>SUMIFS(tb_Entrada[Quantidade], tb_Entrada[SKU], tb_Resumo[[#This Row],[SKU]])</f>
        <v>448</v>
      </c>
      <c r="E110" s="8">
        <f>SUMIFS(tb_Saida[Quantidade], tb_Saida[SKU], tb_Resumo[[#This Row],[SKU]])</f>
        <v>71</v>
      </c>
      <c r="F110" s="8">
        <f>tb_Resumo[[#This Row],[Qntd Entradas]]-tb_Resumo[[#This Row],[Qntd Saídas]]</f>
        <v>377</v>
      </c>
      <c r="G110" s="9">
        <f>tb_Resumo[[#This Row],[Saldo Atual]]*tb_Resumo[[#This Row],[Preço]]</f>
        <v>34838.57</v>
      </c>
      <c r="H110" s="8" t="str" cm="1">
        <f t="array" ref="H11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1" spans="1:8" x14ac:dyDescent="0.25">
      <c r="A111" t="s">
        <v>110</v>
      </c>
      <c r="B111" t="str">
        <f>_xlfn.XLOOKUP(tb_Resumo[[#This Row],[SKU]], tb_Cadastro[SKU], tb_Cadastro[Categoria])</f>
        <v>Componentes</v>
      </c>
      <c r="C111" s="9">
        <f>_xlfn.XLOOKUP(tb_Resumo[[#This Row],[SKU]], tb_Cadastro[SKU], tb_Cadastro[Preço])</f>
        <v>223.56</v>
      </c>
      <c r="D111" s="8">
        <f>SUMIFS(tb_Entrada[Quantidade], tb_Entrada[SKU], tb_Resumo[[#This Row],[SKU]])</f>
        <v>577</v>
      </c>
      <c r="E111" s="8">
        <f>SUMIFS(tb_Saida[Quantidade], tb_Saida[SKU], tb_Resumo[[#This Row],[SKU]])</f>
        <v>189</v>
      </c>
      <c r="F111" s="8">
        <f>tb_Resumo[[#This Row],[Qntd Entradas]]-tb_Resumo[[#This Row],[Qntd Saídas]]</f>
        <v>388</v>
      </c>
      <c r="G111" s="9">
        <f>tb_Resumo[[#This Row],[Saldo Atual]]*tb_Resumo[[#This Row],[Preço]]</f>
        <v>86741.28</v>
      </c>
      <c r="H111" s="8" t="str" cm="1">
        <f t="array" ref="H11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2" spans="1:8" x14ac:dyDescent="0.25">
      <c r="A112" t="s">
        <v>105</v>
      </c>
      <c r="B112" t="str">
        <f>_xlfn.XLOOKUP(tb_Resumo[[#This Row],[SKU]], tb_Cadastro[SKU], tb_Cadastro[Categoria])</f>
        <v>Imagem e Som</v>
      </c>
      <c r="C112" s="9">
        <f>_xlfn.XLOOKUP(tb_Resumo[[#This Row],[SKU]], tb_Cadastro[SKU], tb_Cadastro[Preço])</f>
        <v>676.7</v>
      </c>
      <c r="D112" s="8">
        <f>SUMIFS(tb_Entrada[Quantidade], tb_Entrada[SKU], tb_Resumo[[#This Row],[SKU]])</f>
        <v>570</v>
      </c>
      <c r="E112" s="8">
        <f>SUMIFS(tb_Saida[Quantidade], tb_Saida[SKU], tb_Resumo[[#This Row],[SKU]])</f>
        <v>152</v>
      </c>
      <c r="F112" s="8">
        <f>tb_Resumo[[#This Row],[Qntd Entradas]]-tb_Resumo[[#This Row],[Qntd Saídas]]</f>
        <v>418</v>
      </c>
      <c r="G112" s="9">
        <f>tb_Resumo[[#This Row],[Saldo Atual]]*tb_Resumo[[#This Row],[Preço]]</f>
        <v>282860.60000000003</v>
      </c>
      <c r="H112" s="8" t="str" cm="1">
        <f t="array" ref="H112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3" spans="1:8" x14ac:dyDescent="0.25">
      <c r="A113" t="s">
        <v>30</v>
      </c>
      <c r="B113" t="str">
        <f>_xlfn.XLOOKUP(tb_Resumo[[#This Row],[SKU]], tb_Cadastro[SKU], tb_Cadastro[Categoria])</f>
        <v>Redes</v>
      </c>
      <c r="C113" s="9">
        <f>_xlfn.XLOOKUP(tb_Resumo[[#This Row],[SKU]], tb_Cadastro[SKU], tb_Cadastro[Preço])</f>
        <v>469.5</v>
      </c>
      <c r="D113" s="8">
        <f>SUMIFS(tb_Entrada[Quantidade], tb_Entrada[SKU], tb_Resumo[[#This Row],[SKU]])</f>
        <v>572</v>
      </c>
      <c r="E113" s="8">
        <f>SUMIFS(tb_Saida[Quantidade], tb_Saida[SKU], tb_Resumo[[#This Row],[SKU]])</f>
        <v>142</v>
      </c>
      <c r="F113" s="8">
        <f>tb_Resumo[[#This Row],[Qntd Entradas]]-tb_Resumo[[#This Row],[Qntd Saídas]]</f>
        <v>430</v>
      </c>
      <c r="G113" s="9">
        <f>tb_Resumo[[#This Row],[Saldo Atual]]*tb_Resumo[[#This Row],[Preço]]</f>
        <v>201885</v>
      </c>
      <c r="H113" s="8" t="str" cm="1">
        <f t="array" ref="H113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4" spans="1:8" x14ac:dyDescent="0.25">
      <c r="A114" t="s">
        <v>44</v>
      </c>
      <c r="B114" t="str">
        <f>_xlfn.XLOOKUP(tb_Resumo[[#This Row],[SKU]], tb_Cadastro[SKU], tb_Cadastro[Categoria])</f>
        <v>Hardware</v>
      </c>
      <c r="C114" s="9">
        <f>_xlfn.XLOOKUP(tb_Resumo[[#This Row],[SKU]], tb_Cadastro[SKU], tb_Cadastro[Preço])</f>
        <v>959.82</v>
      </c>
      <c r="D114" s="8">
        <f>SUMIFS(tb_Entrada[Quantidade], tb_Entrada[SKU], tb_Resumo[[#This Row],[SKU]])</f>
        <v>509</v>
      </c>
      <c r="E114" s="8">
        <f>SUMIFS(tb_Saida[Quantidade], tb_Saida[SKU], tb_Resumo[[#This Row],[SKU]])</f>
        <v>54</v>
      </c>
      <c r="F114" s="8">
        <f>tb_Resumo[[#This Row],[Qntd Entradas]]-tb_Resumo[[#This Row],[Qntd Saídas]]</f>
        <v>455</v>
      </c>
      <c r="G114" s="9">
        <f>tb_Resumo[[#This Row],[Saldo Atual]]*tb_Resumo[[#This Row],[Preço]]</f>
        <v>436718.10000000003</v>
      </c>
      <c r="H114" s="8" t="str" cm="1">
        <f t="array" ref="H114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5" spans="1:8" x14ac:dyDescent="0.25">
      <c r="A115" t="s">
        <v>87</v>
      </c>
      <c r="B115" t="str">
        <f>_xlfn.XLOOKUP(tb_Resumo[[#This Row],[SKU]], tb_Cadastro[SKU], tb_Cadastro[Categoria])</f>
        <v>Acessórios</v>
      </c>
      <c r="C115" s="9">
        <f>_xlfn.XLOOKUP(tb_Resumo[[#This Row],[SKU]], tb_Cadastro[SKU], tb_Cadastro[Preço])</f>
        <v>510.54</v>
      </c>
      <c r="D115" s="8">
        <f>SUMIFS(tb_Entrada[Quantidade], tb_Entrada[SKU], tb_Resumo[[#This Row],[SKU]])</f>
        <v>686</v>
      </c>
      <c r="E115" s="8">
        <f>SUMIFS(tb_Saida[Quantidade], tb_Saida[SKU], tb_Resumo[[#This Row],[SKU]])</f>
        <v>205</v>
      </c>
      <c r="F115" s="8">
        <f>tb_Resumo[[#This Row],[Qntd Entradas]]-tb_Resumo[[#This Row],[Qntd Saídas]]</f>
        <v>481</v>
      </c>
      <c r="G115" s="9">
        <f>tb_Resumo[[#This Row],[Saldo Atual]]*tb_Resumo[[#This Row],[Preço]]</f>
        <v>245569.74000000002</v>
      </c>
      <c r="H115" s="8" t="str" cm="1">
        <f t="array" ref="H115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6" spans="1:8" x14ac:dyDescent="0.25">
      <c r="A116" t="s">
        <v>25</v>
      </c>
      <c r="B116" t="str">
        <f>_xlfn.XLOOKUP(tb_Resumo[[#This Row],[SKU]], tb_Cadastro[SKU], tb_Cadastro[Categoria])</f>
        <v>Armazenamento</v>
      </c>
      <c r="C116" s="9">
        <f>_xlfn.XLOOKUP(tb_Resumo[[#This Row],[SKU]], tb_Cadastro[SKU], tb_Cadastro[Preço])</f>
        <v>793.19</v>
      </c>
      <c r="D116" s="8">
        <f>SUMIFS(tb_Entrada[Quantidade], tb_Entrada[SKU], tb_Resumo[[#This Row],[SKU]])</f>
        <v>555</v>
      </c>
      <c r="E116" s="8">
        <f>SUMIFS(tb_Saida[Quantidade], tb_Saida[SKU], tb_Resumo[[#This Row],[SKU]])</f>
        <v>26</v>
      </c>
      <c r="F116" s="8">
        <f>tb_Resumo[[#This Row],[Qntd Entradas]]-tb_Resumo[[#This Row],[Qntd Saídas]]</f>
        <v>529</v>
      </c>
      <c r="G116" s="9">
        <f>tb_Resumo[[#This Row],[Saldo Atual]]*tb_Resumo[[#This Row],[Preço]]</f>
        <v>419597.51</v>
      </c>
      <c r="H116" s="8" t="str" cm="1">
        <f t="array" ref="H116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7" spans="1:8" x14ac:dyDescent="0.25">
      <c r="A117" t="s">
        <v>71</v>
      </c>
      <c r="B117" t="str">
        <f>_xlfn.XLOOKUP(tb_Resumo[[#This Row],[SKU]], tb_Cadastro[SKU], tb_Cadastro[Categoria])</f>
        <v>Redes</v>
      </c>
      <c r="C117" s="9">
        <f>_xlfn.XLOOKUP(tb_Resumo[[#This Row],[SKU]], tb_Cadastro[SKU], tb_Cadastro[Preço])</f>
        <v>210.72</v>
      </c>
      <c r="D117" s="8">
        <f>SUMIFS(tb_Entrada[Quantidade], tb_Entrada[SKU], tb_Resumo[[#This Row],[SKU]])</f>
        <v>921</v>
      </c>
      <c r="E117" s="8">
        <f>SUMIFS(tb_Saida[Quantidade], tb_Saida[SKU], tb_Resumo[[#This Row],[SKU]])</f>
        <v>365</v>
      </c>
      <c r="F117" s="8">
        <f>tb_Resumo[[#This Row],[Qntd Entradas]]-tb_Resumo[[#This Row],[Qntd Saídas]]</f>
        <v>556</v>
      </c>
      <c r="G117" s="9">
        <f>tb_Resumo[[#This Row],[Saldo Atual]]*tb_Resumo[[#This Row],[Preço]]</f>
        <v>117160.31999999999</v>
      </c>
      <c r="H117" s="8" t="str" cm="1">
        <f t="array" ref="H117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8" spans="1:8" x14ac:dyDescent="0.25">
      <c r="A118" t="s">
        <v>35</v>
      </c>
      <c r="B118" t="str">
        <f>_xlfn.XLOOKUP(tb_Resumo[[#This Row],[SKU]], tb_Cadastro[SKU], tb_Cadastro[Categoria])</f>
        <v>Componentes</v>
      </c>
      <c r="C118" s="9">
        <f>_xlfn.XLOOKUP(tb_Resumo[[#This Row],[SKU]], tb_Cadastro[SKU], tb_Cadastro[Preço])</f>
        <v>504.18</v>
      </c>
      <c r="D118" s="8">
        <f>SUMIFS(tb_Entrada[Quantidade], tb_Entrada[SKU], tb_Resumo[[#This Row],[SKU]])</f>
        <v>655</v>
      </c>
      <c r="E118" s="8">
        <f>SUMIFS(tb_Saida[Quantidade], tb_Saida[SKU], tb_Resumo[[#This Row],[SKU]])</f>
        <v>64</v>
      </c>
      <c r="F118" s="8">
        <f>tb_Resumo[[#This Row],[Qntd Entradas]]-tb_Resumo[[#This Row],[Qntd Saídas]]</f>
        <v>591</v>
      </c>
      <c r="G118" s="9">
        <f>tb_Resumo[[#This Row],[Saldo Atual]]*tb_Resumo[[#This Row],[Preço]]</f>
        <v>297970.38</v>
      </c>
      <c r="H118" s="8" t="str" cm="1">
        <f t="array" ref="H118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19" spans="1:8" x14ac:dyDescent="0.25">
      <c r="A119" t="s">
        <v>51</v>
      </c>
      <c r="B119" t="str">
        <f>_xlfn.XLOOKUP(tb_Resumo[[#This Row],[SKU]], tb_Cadastro[SKU], tb_Cadastro[Categoria])</f>
        <v>Armazenamento</v>
      </c>
      <c r="C119" s="9">
        <f>_xlfn.XLOOKUP(tb_Resumo[[#This Row],[SKU]], tb_Cadastro[SKU], tb_Cadastro[Preço])</f>
        <v>576.61</v>
      </c>
      <c r="D119" s="8">
        <f>SUMIFS(tb_Entrada[Quantidade], tb_Entrada[SKU], tb_Resumo[[#This Row],[SKU]])</f>
        <v>698</v>
      </c>
      <c r="E119" s="8">
        <f>SUMIFS(tb_Saida[Quantidade], tb_Saida[SKU], tb_Resumo[[#This Row],[SKU]])</f>
        <v>107</v>
      </c>
      <c r="F119" s="8">
        <f>tb_Resumo[[#This Row],[Qntd Entradas]]-tb_Resumo[[#This Row],[Qntd Saídas]]</f>
        <v>591</v>
      </c>
      <c r="G119" s="9">
        <f>tb_Resumo[[#This Row],[Saldo Atual]]*tb_Resumo[[#This Row],[Preço]]</f>
        <v>340776.51</v>
      </c>
      <c r="H119" s="8" t="str" cm="1">
        <f t="array" ref="H119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20" spans="1:8" x14ac:dyDescent="0.25">
      <c r="A120" t="s">
        <v>116</v>
      </c>
      <c r="B120" t="str">
        <f>_xlfn.XLOOKUP(tb_Resumo[[#This Row],[SKU]], tb_Cadastro[SKU], tb_Cadastro[Categoria])</f>
        <v>Periféricos</v>
      </c>
      <c r="C120" s="9">
        <f>_xlfn.XLOOKUP(tb_Resumo[[#This Row],[SKU]], tb_Cadastro[SKU], tb_Cadastro[Preço])</f>
        <v>435.65</v>
      </c>
      <c r="D120" s="8">
        <f>SUMIFS(tb_Entrada[Quantidade], tb_Entrada[SKU], tb_Resumo[[#This Row],[SKU]])</f>
        <v>715</v>
      </c>
      <c r="E120" s="8">
        <f>SUMIFS(tb_Saida[Quantidade], tb_Saida[SKU], tb_Resumo[[#This Row],[SKU]])</f>
        <v>96</v>
      </c>
      <c r="F120" s="8">
        <f>tb_Resumo[[#This Row],[Qntd Entradas]]-tb_Resumo[[#This Row],[Qntd Saídas]]</f>
        <v>619</v>
      </c>
      <c r="G120" s="9">
        <f>tb_Resumo[[#This Row],[Saldo Atual]]*tb_Resumo[[#This Row],[Preço]]</f>
        <v>269667.34999999998</v>
      </c>
      <c r="H120" s="8" t="str" cm="1">
        <f t="array" ref="H120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  <row r="121" spans="1:8" x14ac:dyDescent="0.25">
      <c r="A121" t="s">
        <v>61</v>
      </c>
      <c r="B121" t="str">
        <f>_xlfn.XLOOKUP(tb_Resumo[[#This Row],[SKU]], tb_Cadastro[SKU], tb_Cadastro[Categoria])</f>
        <v>Imagem e Som</v>
      </c>
      <c r="C121" s="9">
        <f>_xlfn.XLOOKUP(tb_Resumo[[#This Row],[SKU]], tb_Cadastro[SKU], tb_Cadastro[Preço])</f>
        <v>294.33</v>
      </c>
      <c r="D121" s="8">
        <f>SUMIFS(tb_Entrada[Quantidade], tb_Entrada[SKU], tb_Resumo[[#This Row],[SKU]])</f>
        <v>799</v>
      </c>
      <c r="E121" s="8">
        <f>SUMIFS(tb_Saida[Quantidade], tb_Saida[SKU], tb_Resumo[[#This Row],[SKU]])</f>
        <v>18</v>
      </c>
      <c r="F121" s="8">
        <f>tb_Resumo[[#This Row],[Qntd Entradas]]-tb_Resumo[[#This Row],[Qntd Saídas]]</f>
        <v>781</v>
      </c>
      <c r="G121" s="9">
        <f>tb_Resumo[[#This Row],[Saldo Atual]]*tb_Resumo[[#This Row],[Preço]]</f>
        <v>229871.72999999998</v>
      </c>
      <c r="H121" s="8" t="str" cm="1">
        <f t="array" ref="H121">_xlfn.IFS(
tb_Resumo[[#This Row],[Saldo Atual]] &lt; 0, "Estoque Negativo",
tb_Resumo[[#This Row],[Saldo Atual]] = 0, "Obsoleto",
tb_Resumo[[#This Row],[Saldo Atual]] &lt; 20, "Crítico",
tb_Resumo[[#This Row],[Saldo Atual]] &lt;100, "Ok",
tb_Resumo[[#This Row],[Saldo Atual]] &gt;= 101, "Excesso")</f>
        <v>Excesso</v>
      </c>
    </row>
  </sheetData>
  <conditionalFormatting sqref="F2:F121">
    <cfRule type="cellIs" dxfId="2" priority="1" operator="equal">
      <formula>0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98488A-6694-4B59-863D-E36F75CBADBE}">
          <x14:formula1>
            <xm:f>Cadastro!$A$2:$A$121</xm:f>
          </x14:formula1>
          <xm:sqref>A2:A121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4E79-5179-4303-A170-372B31209181}">
  <dimension ref="B2:N10"/>
  <sheetViews>
    <sheetView zoomScale="85" zoomScaleNormal="85" workbookViewId="0">
      <selection activeCell="E13" sqref="E13"/>
    </sheetView>
  </sheetViews>
  <sheetFormatPr defaultRowHeight="15" x14ac:dyDescent="0.25"/>
  <cols>
    <col min="2" max="2" width="18" bestFit="1" customWidth="1"/>
    <col min="3" max="3" width="19.28515625" bestFit="1" customWidth="1"/>
    <col min="4" max="4" width="19.7109375" bestFit="1" customWidth="1"/>
    <col min="5" max="5" width="21.85546875" bestFit="1" customWidth="1"/>
    <col min="6" max="6" width="11.85546875" bestFit="1" customWidth="1"/>
    <col min="7" max="7" width="16.7109375" bestFit="1" customWidth="1"/>
    <col min="8" max="8" width="16.85546875" bestFit="1" customWidth="1"/>
    <col min="9" max="9" width="9.28515625" bestFit="1" customWidth="1"/>
    <col min="10" max="10" width="5.42578125" customWidth="1"/>
    <col min="11" max="11" width="18" bestFit="1" customWidth="1"/>
    <col min="12" max="12" width="15" bestFit="1" customWidth="1"/>
    <col min="14" max="14" width="25" bestFit="1" customWidth="1"/>
  </cols>
  <sheetData>
    <row r="2" spans="2:14" x14ac:dyDescent="0.25">
      <c r="B2" s="10" t="s">
        <v>180</v>
      </c>
      <c r="C2" t="s">
        <v>184</v>
      </c>
      <c r="D2" t="s">
        <v>183</v>
      </c>
      <c r="E2" t="s">
        <v>182</v>
      </c>
      <c r="H2" s="10" t="s">
        <v>192</v>
      </c>
      <c r="K2" s="10" t="s">
        <v>180</v>
      </c>
      <c r="L2" t="s">
        <v>190</v>
      </c>
      <c r="N2" t="s">
        <v>191</v>
      </c>
    </row>
    <row r="3" spans="2:14" x14ac:dyDescent="0.25">
      <c r="B3" s="11" t="s">
        <v>150</v>
      </c>
      <c r="C3" s="13">
        <v>3887</v>
      </c>
      <c r="D3" s="13">
        <v>3147</v>
      </c>
      <c r="E3" s="13">
        <v>7034</v>
      </c>
      <c r="G3" s="10" t="s">
        <v>179</v>
      </c>
      <c r="H3" t="s">
        <v>189</v>
      </c>
      <c r="I3" t="s">
        <v>194</v>
      </c>
      <c r="K3" s="11" t="s">
        <v>155</v>
      </c>
      <c r="L3" s="12">
        <v>561.26200000000006</v>
      </c>
      <c r="N3" s="12">
        <v>10102026.16</v>
      </c>
    </row>
    <row r="4" spans="2:14" x14ac:dyDescent="0.25">
      <c r="B4" s="11" t="s">
        <v>152</v>
      </c>
      <c r="C4" s="13">
        <v>1927</v>
      </c>
      <c r="D4" s="13">
        <v>2847</v>
      </c>
      <c r="E4" s="13">
        <v>4774</v>
      </c>
      <c r="G4" t="s">
        <v>185</v>
      </c>
      <c r="H4" s="5">
        <v>22</v>
      </c>
      <c r="I4" s="21">
        <v>0.18333333333333332</v>
      </c>
      <c r="K4" s="11" t="s">
        <v>166</v>
      </c>
      <c r="L4" s="12">
        <v>457.11842105263167</v>
      </c>
    </row>
    <row r="5" spans="2:14" x14ac:dyDescent="0.25">
      <c r="B5" s="11" t="s">
        <v>158</v>
      </c>
      <c r="C5" s="13">
        <v>3250</v>
      </c>
      <c r="D5" s="13">
        <v>2691</v>
      </c>
      <c r="E5" s="13">
        <v>5941</v>
      </c>
      <c r="G5" t="s">
        <v>188</v>
      </c>
      <c r="H5" s="5">
        <v>3</v>
      </c>
      <c r="I5" s="21">
        <v>2.5000000000000001E-2</v>
      </c>
      <c r="K5" s="11" t="s">
        <v>148</v>
      </c>
      <c r="L5" s="12">
        <v>476.05000000000013</v>
      </c>
    </row>
    <row r="6" spans="2:14" x14ac:dyDescent="0.25">
      <c r="B6" s="11" t="s">
        <v>160</v>
      </c>
      <c r="C6" s="13">
        <v>3126</v>
      </c>
      <c r="D6" s="13">
        <v>2182</v>
      </c>
      <c r="E6" s="13">
        <v>5308</v>
      </c>
      <c r="G6" t="s">
        <v>187</v>
      </c>
      <c r="H6" s="5">
        <v>20</v>
      </c>
      <c r="I6" s="21">
        <v>0.16666666666666666</v>
      </c>
      <c r="K6" s="11" t="s">
        <v>160</v>
      </c>
      <c r="L6" s="12">
        <v>573.38999999999987</v>
      </c>
    </row>
    <row r="7" spans="2:14" x14ac:dyDescent="0.25">
      <c r="B7" s="11" t="s">
        <v>148</v>
      </c>
      <c r="C7" s="13">
        <v>2790</v>
      </c>
      <c r="D7" s="13">
        <v>2239</v>
      </c>
      <c r="E7" s="13">
        <v>5029</v>
      </c>
      <c r="G7" t="s">
        <v>186</v>
      </c>
      <c r="H7" s="5">
        <v>75</v>
      </c>
      <c r="I7" s="21">
        <v>0.625</v>
      </c>
      <c r="K7" s="11" t="s">
        <v>158</v>
      </c>
      <c r="L7" s="12">
        <v>519.15117647058821</v>
      </c>
    </row>
    <row r="8" spans="2:14" x14ac:dyDescent="0.25">
      <c r="B8" s="11" t="s">
        <v>166</v>
      </c>
      <c r="C8" s="13">
        <v>2256</v>
      </c>
      <c r="D8" s="13">
        <v>3098</v>
      </c>
      <c r="E8" s="13">
        <v>5354</v>
      </c>
      <c r="G8" t="s">
        <v>174</v>
      </c>
      <c r="H8" s="5">
        <v>120</v>
      </c>
      <c r="I8" s="21">
        <v>1</v>
      </c>
      <c r="K8" s="11" t="s">
        <v>152</v>
      </c>
      <c r="L8" s="12">
        <v>563.89</v>
      </c>
    </row>
    <row r="9" spans="2:14" x14ac:dyDescent="0.25">
      <c r="B9" s="11" t="s">
        <v>155</v>
      </c>
      <c r="C9" s="13">
        <v>1702</v>
      </c>
      <c r="D9" s="13">
        <v>3674</v>
      </c>
      <c r="E9" s="13">
        <v>5376</v>
      </c>
      <c r="K9" s="11" t="s">
        <v>150</v>
      </c>
      <c r="L9" s="12">
        <v>586.82500000000005</v>
      </c>
    </row>
    <row r="10" spans="2:14" x14ac:dyDescent="0.25">
      <c r="B10" s="11" t="s">
        <v>174</v>
      </c>
      <c r="C10" s="13">
        <v>18938</v>
      </c>
      <c r="D10" s="13">
        <v>19878</v>
      </c>
      <c r="E10" s="13">
        <v>38816</v>
      </c>
      <c r="K10" s="11" t="s">
        <v>174</v>
      </c>
      <c r="L10" s="12">
        <v>534.66741666666667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C500-E5E5-49FF-906F-FF4ECA188351}">
  <dimension ref="B2:T12"/>
  <sheetViews>
    <sheetView tabSelected="1" zoomScaleNormal="100" workbookViewId="0">
      <selection activeCell="B7" sqref="B7"/>
    </sheetView>
  </sheetViews>
  <sheetFormatPr defaultRowHeight="15" x14ac:dyDescent="0.25"/>
  <sheetData>
    <row r="2" spans="2:20" ht="26.25" x14ac:dyDescent="0.4">
      <c r="B2" s="14" t="s">
        <v>181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9" spans="2:20" ht="15.75" customHeight="1" thickBot="1" x14ac:dyDescent="0.3"/>
    <row r="10" spans="2:20" ht="15" customHeight="1" x14ac:dyDescent="0.25">
      <c r="C10" s="30"/>
      <c r="D10" s="15">
        <f>GETPIVOTDATA("Valor em Estoque",Painel!$N$2)</f>
        <v>10102026.16</v>
      </c>
      <c r="E10" s="15"/>
      <c r="F10" s="16"/>
      <c r="I10" s="33"/>
      <c r="J10" s="22">
        <f>IFERROR(GETPIVOTDATA("% de SKU",Painel!$G$2,"Fl Estoque","Crítico"), 0)</f>
        <v>2.5000000000000001E-2</v>
      </c>
      <c r="K10" s="22"/>
      <c r="L10" s="23"/>
      <c r="O10" s="33"/>
      <c r="P10" s="26">
        <f>IFERROR(GETPIVOTDATA("Contagem de SKU",Painel!$G$2,"Fl Estoque","Estoque Negativo"), 0)</f>
        <v>22</v>
      </c>
      <c r="Q10" s="26"/>
      <c r="R10" s="27"/>
    </row>
    <row r="11" spans="2:20" ht="15" customHeight="1" x14ac:dyDescent="0.25">
      <c r="C11" s="31"/>
      <c r="D11" s="17"/>
      <c r="E11" s="17"/>
      <c r="F11" s="18"/>
      <c r="I11" s="34"/>
      <c r="J11" s="24"/>
      <c r="K11" s="24"/>
      <c r="L11" s="25"/>
      <c r="O11" s="34"/>
      <c r="P11" s="28"/>
      <c r="Q11" s="28"/>
      <c r="R11" s="29"/>
    </row>
    <row r="12" spans="2:20" ht="15.75" thickBot="1" x14ac:dyDescent="0.3">
      <c r="C12" s="32"/>
      <c r="D12" s="19" t="s">
        <v>193</v>
      </c>
      <c r="E12" s="19"/>
      <c r="F12" s="20"/>
      <c r="I12" s="32"/>
      <c r="J12" s="19" t="s">
        <v>195</v>
      </c>
      <c r="K12" s="19"/>
      <c r="L12" s="20"/>
      <c r="O12" s="32"/>
      <c r="P12" s="19" t="s">
        <v>196</v>
      </c>
      <c r="Q12" s="19"/>
      <c r="R12" s="20"/>
    </row>
  </sheetData>
  <mergeCells count="7">
    <mergeCell ref="B2:T2"/>
    <mergeCell ref="D10:F11"/>
    <mergeCell ref="D12:F12"/>
    <mergeCell ref="J10:L11"/>
    <mergeCell ref="P10:R11"/>
    <mergeCell ref="J12:L12"/>
    <mergeCell ref="P12:R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Entrada</vt:lpstr>
      <vt:lpstr>Saida</vt:lpstr>
      <vt:lpstr>Cadastro</vt:lpstr>
      <vt:lpstr>Resumo Estoque</vt:lpstr>
      <vt:lpstr>Painel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Henrique Viras Nobre</cp:lastModifiedBy>
  <dcterms:modified xsi:type="dcterms:W3CDTF">2026-03-17T04:11:13Z</dcterms:modified>
</cp:coreProperties>
</file>