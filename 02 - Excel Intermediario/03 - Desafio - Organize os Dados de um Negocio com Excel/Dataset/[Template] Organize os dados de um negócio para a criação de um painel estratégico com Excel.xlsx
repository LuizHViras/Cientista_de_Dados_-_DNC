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" sheetId="1" r:id="rId5"/>
    <sheet state="visible" name="Saida" sheetId="2" r:id="rId6"/>
    <sheet state="visible" name="Cadastro" sheetId="3" r:id="rId7"/>
    <sheet state="visible" name="Estoque" sheetId="4" r:id="rId8"/>
    <sheet state="visible" name="Painel" sheetId="5" r:id="rId9"/>
  </sheets>
  <definedNames>
    <definedName hidden="1" localSheetId="0" name="_xlnm._FilterDatabase">Entrada!$A$1:$Z$501</definedName>
    <definedName hidden="1" localSheetId="2" name="_xlnm._FilterDatabase">Cadastro!$A$1:$Z$1000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<sst xmlns="http://schemas.openxmlformats.org/spreadsheetml/2006/main" count="2776" uniqueCount="185">
  <si>
    <t>Data</t>
  </si>
  <si>
    <t>SKU</t>
  </si>
  <si>
    <t>Produto</t>
  </si>
  <si>
    <t>Quantidade</t>
  </si>
  <si>
    <t>2085A</t>
  </si>
  <si>
    <t>Notebook Ultrafino</t>
  </si>
  <si>
    <t>1679C</t>
  </si>
  <si>
    <t>7824D</t>
  </si>
  <si>
    <t>Headset Gamer</t>
  </si>
  <si>
    <t>2580D</t>
  </si>
  <si>
    <t>9491C</t>
  </si>
  <si>
    <t>3443C</t>
  </si>
  <si>
    <t>8046A</t>
  </si>
  <si>
    <t>Hub USB 3.0</t>
  </si>
  <si>
    <t>5470C</t>
  </si>
  <si>
    <t>6656A</t>
  </si>
  <si>
    <t>Carregador USB-C</t>
  </si>
  <si>
    <t>7435B</t>
  </si>
  <si>
    <t>4177B</t>
  </si>
  <si>
    <t>2443D</t>
  </si>
  <si>
    <t>Power Bank 10000mAh</t>
  </si>
  <si>
    <t>9530B</t>
  </si>
  <si>
    <t>Fonte 500W</t>
  </si>
  <si>
    <t>3898B</t>
  </si>
  <si>
    <t>Controle Xbox</t>
  </si>
  <si>
    <t>7076B</t>
  </si>
  <si>
    <t>Adaptador Bluetooth</t>
  </si>
  <si>
    <t>3760A</t>
  </si>
  <si>
    <t>Roteador Wi-Fi</t>
  </si>
  <si>
    <t>6331D</t>
  </si>
  <si>
    <t>5264C</t>
  </si>
  <si>
    <t>Placa de Vídeo 4GB</t>
  </si>
  <si>
    <t>6321A</t>
  </si>
  <si>
    <t>7774B</t>
  </si>
  <si>
    <t>8679B</t>
  </si>
  <si>
    <t>5949A</t>
  </si>
  <si>
    <t>1256C</t>
  </si>
  <si>
    <t>5437A</t>
  </si>
  <si>
    <t>4002D</t>
  </si>
  <si>
    <t>Cadeira Gamer</t>
  </si>
  <si>
    <t>2083A</t>
  </si>
  <si>
    <t>Cabo HDMI</t>
  </si>
  <si>
    <t>5959C</t>
  </si>
  <si>
    <t>9079D</t>
  </si>
  <si>
    <t>2168A</t>
  </si>
  <si>
    <t>9002A</t>
  </si>
  <si>
    <t>6492A</t>
  </si>
  <si>
    <t>9527D</t>
  </si>
  <si>
    <t>9646A</t>
  </si>
  <si>
    <t>1675A</t>
  </si>
  <si>
    <t>HD Externo 1TB</t>
  </si>
  <si>
    <t>6959C</t>
  </si>
  <si>
    <t>Cooler para CPU</t>
  </si>
  <si>
    <t>5337A</t>
  </si>
  <si>
    <t>3984B</t>
  </si>
  <si>
    <t>5564B</t>
  </si>
  <si>
    <t>2485D</t>
  </si>
  <si>
    <t>5334B</t>
  </si>
  <si>
    <t>1466B</t>
  </si>
  <si>
    <t>1885B</t>
  </si>
  <si>
    <t>5827A</t>
  </si>
  <si>
    <t>6150C</t>
  </si>
  <si>
    <t>Pendrive 64GB</t>
  </si>
  <si>
    <t>8828D</t>
  </si>
  <si>
    <t>4877A</t>
  </si>
  <si>
    <t>9485C</t>
  </si>
  <si>
    <t>8023A</t>
  </si>
  <si>
    <t>2192C</t>
  </si>
  <si>
    <t>9161D</t>
  </si>
  <si>
    <t>1465D</t>
  </si>
  <si>
    <t>3633A</t>
  </si>
  <si>
    <t>5941A</t>
  </si>
  <si>
    <t>6867A</t>
  </si>
  <si>
    <t>5968B</t>
  </si>
  <si>
    <t>5063B</t>
  </si>
  <si>
    <t>Monitor 24''</t>
  </si>
  <si>
    <t>4269B</t>
  </si>
  <si>
    <t>9068A</t>
  </si>
  <si>
    <t>3975C</t>
  </si>
  <si>
    <t>Webcam Full HD</t>
  </si>
  <si>
    <t>5021C</t>
  </si>
  <si>
    <t>4439B</t>
  </si>
  <si>
    <t>Suporte Monitor</t>
  </si>
  <si>
    <t>8445C</t>
  </si>
  <si>
    <t>5262B</t>
  </si>
  <si>
    <t>Teclado Mecânico</t>
  </si>
  <si>
    <t>8756C</t>
  </si>
  <si>
    <t>3657A</t>
  </si>
  <si>
    <t>1389D</t>
  </si>
  <si>
    <t>5712D</t>
  </si>
  <si>
    <t>8322C</t>
  </si>
  <si>
    <t>9150D</t>
  </si>
  <si>
    <t>4259C</t>
  </si>
  <si>
    <t>3059A</t>
  </si>
  <si>
    <t>2558A</t>
  </si>
  <si>
    <t>5118D</t>
  </si>
  <si>
    <t>4154D</t>
  </si>
  <si>
    <t>7085A</t>
  </si>
  <si>
    <t>3608A</t>
  </si>
  <si>
    <t>9853A</t>
  </si>
  <si>
    <t>5320D</t>
  </si>
  <si>
    <t>3891C</t>
  </si>
  <si>
    <t>6580A</t>
  </si>
  <si>
    <t>2362D</t>
  </si>
  <si>
    <t>4025A</t>
  </si>
  <si>
    <t>1220D</t>
  </si>
  <si>
    <t>7580B</t>
  </si>
  <si>
    <t>1120C</t>
  </si>
  <si>
    <t>1534A</t>
  </si>
  <si>
    <t>Mouse Óptico</t>
  </si>
  <si>
    <t>7928A</t>
  </si>
  <si>
    <t>3880C</t>
  </si>
  <si>
    <t>6100C</t>
  </si>
  <si>
    <t>3321A</t>
  </si>
  <si>
    <t>4836D</t>
  </si>
  <si>
    <t>8866B</t>
  </si>
  <si>
    <t>8367A</t>
  </si>
  <si>
    <t>9591C</t>
  </si>
  <si>
    <t>2286C</t>
  </si>
  <si>
    <t>3265C</t>
  </si>
  <si>
    <t>8593C</t>
  </si>
  <si>
    <t>8214A</t>
  </si>
  <si>
    <t>8345D</t>
  </si>
  <si>
    <t>6004A</t>
  </si>
  <si>
    <t>4159D</t>
  </si>
  <si>
    <t>3127C</t>
  </si>
  <si>
    <t>9019C</t>
  </si>
  <si>
    <t>7919C</t>
  </si>
  <si>
    <t>2651C</t>
  </si>
  <si>
    <t>1797D</t>
  </si>
  <si>
    <t>4528D</t>
  </si>
  <si>
    <t>6957A</t>
  </si>
  <si>
    <t>1698D</t>
  </si>
  <si>
    <t>7568D</t>
  </si>
  <si>
    <t>6932D</t>
  </si>
  <si>
    <t>9559A</t>
  </si>
  <si>
    <t>4592D</t>
  </si>
  <si>
    <t>5766B</t>
  </si>
  <si>
    <t>6300B</t>
  </si>
  <si>
    <t>2463C</t>
  </si>
  <si>
    <t>1751D</t>
  </si>
  <si>
    <t>8468C</t>
  </si>
  <si>
    <t>2525B</t>
  </si>
  <si>
    <t>3318C</t>
  </si>
  <si>
    <t>Descrição</t>
  </si>
  <si>
    <t>Categoria</t>
  </si>
  <si>
    <t>Preço</t>
  </si>
  <si>
    <t>Entrada</t>
  </si>
  <si>
    <t>Saída</t>
  </si>
  <si>
    <t>Saldo atual</t>
  </si>
  <si>
    <t>Valor em estoque</t>
  </si>
  <si>
    <t>Notebook com tela fina e processador rápido</t>
  </si>
  <si>
    <t>Componentes</t>
  </si>
  <si>
    <t>Hub com múltiplas portas USB 3.0</t>
  </si>
  <si>
    <t>Redes</t>
  </si>
  <si>
    <t>Placa de vídeo para jogos e edição gráfica</t>
  </si>
  <si>
    <t>Periféricos</t>
  </si>
  <si>
    <t>Fonte de alimentação estável para PCs</t>
  </si>
  <si>
    <t>Cabo HDMI com suporte a 4K</t>
  </si>
  <si>
    <t>Acessórios</t>
  </si>
  <si>
    <t>Adaptador para conexão Bluetooth em dispositivos</t>
  </si>
  <si>
    <t>Câmera com microfone embutido para videoconferência</t>
  </si>
  <si>
    <t>Imagem e Som</t>
  </si>
  <si>
    <t>Pendrive com alta velocidade de transferência</t>
  </si>
  <si>
    <t>Hardware</t>
  </si>
  <si>
    <t>Headset com isolamento de ruído e microfone</t>
  </si>
  <si>
    <t>Cooler eficiente para refrigeração de CPU</t>
  </si>
  <si>
    <t>Cadeira ergonômica com apoio lombar ajustável</t>
  </si>
  <si>
    <t>Roteador com Wi-Fi de banda dupla</t>
  </si>
  <si>
    <t>Bateria externa com duas saídas USB</t>
  </si>
  <si>
    <t>Armazenamento</t>
  </si>
  <si>
    <t>Suporte ajustável para dois monitores</t>
  </si>
  <si>
    <t>Teclado com iluminação RGB e teclas mecânicas</t>
  </si>
  <si>
    <t>Dispositivo com conexão USB de alta precisão</t>
  </si>
  <si>
    <t>Carregador rápido com entrada USB-C</t>
  </si>
  <si>
    <t>Unidade de armazenamento portátil com 1TB</t>
  </si>
  <si>
    <t>Monitor LED com resolução Full HD</t>
  </si>
  <si>
    <t>Controle sem fio compatível com PC e console</t>
  </si>
  <si>
    <t>Status</t>
  </si>
  <si>
    <t xml:space="preserve"> </t>
  </si>
  <si>
    <t>SUM de Valor em estoque</t>
  </si>
  <si>
    <t>COUNTA de SKU</t>
  </si>
  <si>
    <t>AVERAGE de Preço</t>
  </si>
  <si>
    <t>SUM de Saída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</si>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</sst>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  <xf borderId="0" fillId="0" fontId="3" numFmtId="164" xfId="0" applyFont="1" applyNumberFormat="1"/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1" fillId="0" fontId="1" numFmtId="0" xfId="0" applyAlignment="1" applyBorder="1" applyFont="1">
      <alignment horizontal="left" vertical="top"/>
    </xf>
    <xf borderId="1" fillId="0" fontId="1" numFmtId="165" xfId="0" applyAlignment="1" applyBorder="1" applyFont="1" applyNumberFormat="1">
      <alignment horizontal="left" vertical="top"/>
    </xf>
    <xf borderId="0" fillId="0" fontId="1" numFmtId="0" xfId="0" applyAlignment="1" applyFon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3" numFmtId="0" xfId="0" applyAlignment="1" applyFont="1">
      <alignment horizontal="left"/>
    </xf>
    <xf borderId="0" fillId="0" fontId="3" numFmtId="165" xfId="0" applyAlignment="1" applyFont="1" applyNumberFormat="1">
      <alignment horizontal="left"/>
    </xf>
    <xf borderId="0" fillId="0" fontId="3" numFmtId="165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3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Painel!$B$1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Painel!$A$2:$A$9</c:f>
            </c:strRef>
          </c:cat>
          <c:val>
            <c:numRef>
              <c:f>Painel!$B$2:$B$9</c:f>
              <c:numCache/>
            </c:numRef>
          </c:val>
        </c:ser>
        <c:axId val="1068024080"/>
        <c:axId val="1568363743"/>
      </c:barChart>
      <c:catAx>
        <c:axId val="1068024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8363743"/>
      </c:catAx>
      <c:valAx>
        <c:axId val="1568363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80240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Painel!$E$1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Painel!$A$2:$A$9</c:f>
            </c:strRef>
          </c:cat>
          <c:val>
            <c:numRef>
              <c:f>Painel!$E$2:$E$9</c:f>
              <c:numCache/>
            </c:numRef>
          </c:val>
        </c:ser>
        <c:axId val="1331614935"/>
        <c:axId val="256921758"/>
      </c:barChart>
      <c:catAx>
        <c:axId val="13316149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6921758"/>
      </c:catAx>
      <c:valAx>
        <c:axId val="2569217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161493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Painel!$D$1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Painel!$A$2:$A$9</c:f>
            </c:strRef>
          </c:cat>
          <c:val>
            <c:numRef>
              <c:f>Painel!$D$2:$D$9</c:f>
              <c:numCache/>
            </c:numRef>
          </c:val>
        </c:ser>
        <c:axId val="551087287"/>
        <c:axId val="1239497847"/>
      </c:barChart>
      <c:catAx>
        <c:axId val="551087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497847"/>
      </c:catAx>
      <c:valAx>
        <c:axId val="12394978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10872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11</xdr:row>
      <xdr:rowOff>28575</xdr:rowOff>
    </xdr:from>
    <xdr:ext cx="619125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171450</xdr:colOff>
      <xdr:row>30</xdr:row>
      <xdr:rowOff>104775</xdr:rowOff>
    </xdr:from>
    <xdr:ext cx="619125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123825</xdr:colOff>
      <xdr:row>49</xdr:row>
      <xdr:rowOff>180975</xdr:rowOff>
    </xdr:from>
    <xdr:ext cx="619125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Estoque"/>
  </cacheSource>
  <cacheFields>
    <cacheField name="SKU" numFmtId="0">
      <sharedItems containsBlank="1">
        <s v="3975C"/>
        <s v="5827A"/>
        <s v="3633A"/>
        <s v="9491C"/>
        <s v="5712D"/>
        <s v="7824D"/>
        <s v="9485C"/>
        <s v="2192C"/>
        <s v="3127C"/>
        <s v="9527D"/>
        <s v="8828D"/>
        <s v="8679B"/>
        <s v="1797D"/>
        <s v="7928A"/>
        <s v="3265C"/>
        <s v="3608A"/>
        <s v="2083A"/>
        <s v="6321A"/>
        <s v="5968B"/>
        <s v="1885B"/>
        <s v="4002D"/>
        <s v="5264C"/>
        <s v="8367A"/>
        <s v="1256C"/>
        <s v="9853A"/>
        <s v="2085A"/>
        <s v="9559A"/>
        <s v="3898B"/>
        <s v="5941A"/>
        <s v="1120C"/>
        <s v="4592D"/>
        <s v="1389D"/>
        <s v="5470C"/>
        <s v="8593C"/>
        <s v="7568D"/>
        <s v="6331D"/>
        <s v="8046A"/>
        <s v="7919C"/>
        <s v="9019C"/>
        <s v="4528D"/>
        <s v="4269B"/>
        <s v="6100C"/>
        <s v="2463C"/>
        <s v="3891C"/>
        <s v="7085A"/>
        <s v="6656A"/>
        <s v="7580B"/>
        <s v="2525B"/>
        <s v="9530B"/>
        <s v="1679C"/>
        <s v="3984B"/>
        <s v="3443C"/>
        <s v="5564B"/>
        <s v="5949A"/>
        <s v="7076B"/>
        <s v="8214A"/>
        <s v="4154D"/>
        <s v="4439B"/>
        <s v="7435B"/>
        <s v="9079D"/>
        <s v="9002A"/>
        <s v="2286C"/>
        <s v="9591C"/>
        <s v="5337A"/>
        <s v="6867A"/>
        <s v="4877A"/>
        <s v="5437A"/>
        <s v="5334B"/>
        <s v="2580D"/>
        <s v="9161D"/>
        <s v="6300B"/>
        <s v="1675A"/>
        <s v="5959C"/>
        <s v="1751D"/>
        <s v="1466B"/>
        <s v="9068A"/>
        <s v="2558A"/>
        <s v="8445C"/>
        <s v="3880C"/>
        <s v="2362D"/>
        <s v="6959C"/>
        <s v="5063B"/>
        <s v="7774B"/>
        <s v="2651C"/>
        <s v="4025A"/>
        <s v="3059A"/>
        <s v="1698D"/>
        <s v="5021C"/>
        <s v="6150C"/>
        <s v="8468C"/>
        <s v="4177B"/>
        <s v="6492A"/>
        <s v="4159D"/>
        <s v="3318C"/>
        <s v="9646A"/>
        <s v="2168A"/>
        <s v="8322C"/>
        <s v="5118D"/>
        <s v="4836D"/>
        <s v="3657A"/>
        <s v="6004A"/>
        <s v="1220D"/>
        <s v="1465D"/>
        <s v="2485D"/>
        <s v="5320D"/>
        <s v="8866B"/>
        <s v="8345D"/>
        <s v="3760A"/>
        <s v="6932D"/>
        <s v="8756C"/>
        <s v="6580A"/>
        <s v="5262B"/>
        <s v="4259C"/>
        <s v="1534A"/>
        <s v="3321A"/>
        <s v="8023A"/>
        <s v="2443D"/>
        <s v="6957A"/>
        <s v="5766B"/>
        <s v="9150D"/>
        <m/>
      </sharedItems>
    </cacheField>
    <cacheField name="Categoria" numFmtId="0">
      <sharedItems containsBlank="1">
        <s v="Componentes"/>
        <s v="Redes"/>
        <s v="Periféricos"/>
        <s v="Acessórios"/>
        <s v="Imagem e Som"/>
        <s v="Hardware"/>
        <s v="Armazenamento"/>
        <m/>
      </sharedItems>
    </cacheField>
    <cacheField name="Preço" numFmtId="165">
      <sharedItems containsString="0" containsBlank="1" containsNumber="1">
        <n v="976.36"/>
        <n v="652.17"/>
        <n v="523.33"/>
        <n v="101.03"/>
        <n v="389.93"/>
        <n v="238.68"/>
        <n v="395.54"/>
        <n v="97.2"/>
        <n v="938.68"/>
        <n v="536.84"/>
        <n v="482.7"/>
        <n v="756.15"/>
        <n v="966.44"/>
        <n v="223.56"/>
        <n v="257.3"/>
        <n v="381.51"/>
        <n v="837.9"/>
        <n v="715.01"/>
        <n v="393.32"/>
        <n v="240.69"/>
        <n v="477.8"/>
        <n v="469.5"/>
        <n v="435.65"/>
        <n v="491.38"/>
        <n v="250.84"/>
        <n v="802.36"/>
        <n v="167.32"/>
        <n v="120.79"/>
        <n v="210.72"/>
        <n v="270.27"/>
        <n v="711.1"/>
        <n v="823.71"/>
        <n v="107.76"/>
        <n v="653.64"/>
        <n v="252.85"/>
        <n v="775.44"/>
        <n v="200.74"/>
        <n v="347.43"/>
        <n v="705.93"/>
        <n v="365.28"/>
        <n v="536.77"/>
        <n v="877.23"/>
        <n v="379.85"/>
        <n v="991.03"/>
        <n v="174.26"/>
        <n v="339.98"/>
        <n v="143.75"/>
        <n v="124.79"/>
        <n v="539.37"/>
        <n v="121.42"/>
        <n v="188.17"/>
        <n v="216.51"/>
        <n v="919.26"/>
        <n v="504.18"/>
        <n v="793.19"/>
        <n v="542.75"/>
        <n v="363.9"/>
        <n v="584.17"/>
        <n v="820.78"/>
        <n v="92.41"/>
        <n v="977.6"/>
        <n v="580.81"/>
        <n v="383.87"/>
        <n v="723.8"/>
        <n v="503.07"/>
        <n v="742.3"/>
        <n v="506.5"/>
        <n v="863.63"/>
        <n v="577.43"/>
        <n v="588.87"/>
        <n v="741.36"/>
        <n v="89.57"/>
        <n v="560.16"/>
        <n v="306.18"/>
        <n v="499.23"/>
        <n v="833.87"/>
        <n v="280.29"/>
        <n v="818.42"/>
        <n v="830.71"/>
        <n v="306.2"/>
        <n v="576.61"/>
        <n v="188.01"/>
        <n v="401.23"/>
        <n v="811.47"/>
        <n v="447.66"/>
        <n v="670.72"/>
        <n v="302.34"/>
        <n v="658.98"/>
        <n v="294.33"/>
        <n v="499.44"/>
        <n v="787.03"/>
        <n v="806.69"/>
        <n v="334.38"/>
        <n v="912.84"/>
        <n v="349.59"/>
        <n v="959.82"/>
        <n v="970.1"/>
        <n v="950.74"/>
        <n v="405.92"/>
        <n v="510.54"/>
        <n v="950.93"/>
        <n v="676.7"/>
        <n v="383.27"/>
        <n v="597.81"/>
        <n v="549.75"/>
        <n v="576.48"/>
        <n v="931.11"/>
        <n v="967.84"/>
        <n v="682.72"/>
        <n v="418.89"/>
        <n v="927.57"/>
        <n v="898.39"/>
        <n v="333.64"/>
        <n v="285.57"/>
        <n v="143.22"/>
        <n v="914.49"/>
        <n v="546.58"/>
        <n v="551.52"/>
        <n v="793.28"/>
        <n v="479.4"/>
        <m/>
      </sharedItems>
    </cacheField>
    <cacheField name="Entrada" numFmtId="0">
      <sharedItems containsString="0" containsBlank="1" containsNumber="1" containsInteger="1">
        <n v="233.0"/>
        <n v="347.0"/>
        <n v="291.0"/>
        <n v="266.0"/>
        <n v="238.0"/>
        <n v="317.0"/>
        <n v="262.0"/>
        <n v="380.0"/>
        <n v="171.0"/>
        <n v="376.0"/>
        <n v="657.0"/>
        <n v="277.0"/>
        <n v="222.0"/>
        <n v="577.0"/>
        <n v="284.0"/>
        <n v="104.0"/>
        <n v="336.0"/>
        <n v="207.0"/>
        <n v="335.0"/>
        <n v="163.0"/>
        <n v="388.0"/>
        <n v="572.0"/>
        <n v="715.0"/>
        <n v="267.0"/>
        <n v="362.0"/>
        <n v="416.0"/>
        <n v="211.0"/>
        <n v="252.0"/>
        <n v="921.0"/>
        <n v="67.0"/>
        <n v="312.0"/>
        <n v="404.0"/>
        <n v="264.0"/>
        <n v="241.0"/>
        <n v="11.0"/>
        <n v="428.0"/>
        <n v="218.0"/>
        <n v="402.0"/>
        <n v="80.0"/>
        <n v="242.0"/>
        <n v="258.0"/>
        <n v="129.0"/>
        <n v="348.0"/>
        <n v="297.0"/>
        <n v="116.0"/>
        <n v="0.0"/>
        <n v="407.0"/>
        <n v="327.0"/>
        <n v="169.0"/>
        <n v="405.0"/>
        <n v="324.0"/>
        <n v="655.0"/>
        <n v="555.0"/>
        <n v="523.0"/>
        <n v="354.0"/>
        <n v="406.0"/>
        <n v="448.0"/>
        <n v="594.0"/>
        <n v="73.0"/>
        <n v="174.0"/>
        <n v="294.0"/>
        <n v="209.0"/>
        <n v="392.0"/>
        <n v="394.0"/>
        <n v="298.0"/>
        <n v="321.0"/>
        <n v="131.0"/>
        <n v="495.0"/>
        <n v="8.0"/>
        <n v="475.0"/>
        <n v="424.0"/>
        <n v="126.0"/>
        <n v="410.0"/>
        <n v="193.0"/>
        <n v="447.0"/>
        <n v="698.0"/>
        <n v="310.0"/>
        <n v="303.0"/>
        <n v="257.0"/>
        <n v="353.0"/>
        <n v="552.0"/>
        <n v="439.0"/>
        <n v="45.0"/>
        <n v="799.0"/>
        <n v="356.0"/>
        <n v="355.0"/>
        <n v="509.0"/>
        <n v="187.0"/>
        <n v="413.0"/>
        <n v="686.0"/>
        <n v="190.0"/>
        <n v="570.0"/>
        <n v="168.0"/>
        <n v="223.0"/>
        <n v="322.0"/>
        <n v="323.0"/>
        <n v="117.0"/>
        <n v="244.0"/>
        <n v="196.0"/>
        <n v="203.0"/>
        <n v="180.0"/>
        <n v="337.0"/>
        <n v="304.0"/>
        <n v="436.0"/>
        <n v="550.0"/>
        <n v="237.0"/>
        <n v="313.0"/>
        <n v="418.0"/>
        <n v="414.0"/>
        <m/>
      </sharedItems>
    </cacheField>
    <cacheField name="Saída" numFmtId="0">
      <sharedItems containsString="0" containsBlank="1" containsNumber="1" containsInteger="1">
        <n v="227.0"/>
        <n v="89.0"/>
        <n v="198.0"/>
        <n v="180.0"/>
        <n v="29.0"/>
        <n v="55.0"/>
        <n v="161.0"/>
        <n v="235.0"/>
        <n v="88.0"/>
        <n v="57.0"/>
        <n v="338.0"/>
        <n v="241.0"/>
        <n v="261.0"/>
        <n v="189.0"/>
        <n v="127.0"/>
        <n v="188.0"/>
        <n v="217.0"/>
        <n v="164.0"/>
        <n v="337.0"/>
        <n v="81.0"/>
        <n v="142.0"/>
        <n v="96.0"/>
        <n v="224.0"/>
        <n v="182.0"/>
        <n v="138.0"/>
        <n v="135.0"/>
        <n v="194.0"/>
        <n v="365.0"/>
        <n v="74.0"/>
        <n v="289.0"/>
        <n v="108.0"/>
        <n v="183.0"/>
        <n v="272.0"/>
        <n v="221.0"/>
        <n v="133.0"/>
        <n v="165.0"/>
        <n v="137.0"/>
        <n v="139.0"/>
        <n v="97.0"/>
        <n v="231.0"/>
        <n v="176.0"/>
        <n v="153.0"/>
        <n v="160.0"/>
        <n v="154.0"/>
        <n v="17.0"/>
        <n v="99.0"/>
        <n v="212.0"/>
        <n v="202.0"/>
        <n v="107.0"/>
        <n v="45.0"/>
        <n v="95.0"/>
        <n v="64.0"/>
        <n v="26.0"/>
        <n v="105.0"/>
        <n v="179.0"/>
        <n v="238.0"/>
        <n v="346.0"/>
        <n v="71.0"/>
        <n v="246.0"/>
        <n v="281.0"/>
        <n v="276.0"/>
        <n v="273.0"/>
        <n v="152.0"/>
        <n v="70.0"/>
        <n v="244.0"/>
        <n v="193.0"/>
        <n v="197.0"/>
        <n v="208.0"/>
        <n v="201.0"/>
        <n v="215.0"/>
        <n v="112.0"/>
        <n v="232.0"/>
        <n v="172.0"/>
        <n v="131.0"/>
        <n v="207.0"/>
        <n v="13.0"/>
        <n v="196.0"/>
        <n v="159.0"/>
        <n v="316.0"/>
        <n v="147.0"/>
        <n v="205.0"/>
        <n v="18.0"/>
        <n v="277.0"/>
        <n v="169.0"/>
        <n v="297.0"/>
        <n v="51.0"/>
        <n v="54.0"/>
        <n v="132.0"/>
        <n v="213.0"/>
        <n v="274.0"/>
        <n v="239.0"/>
        <n v="0.0"/>
        <n v="158.0"/>
        <n v="104.0"/>
        <n v="94.0"/>
        <n v="118.0"/>
        <n v="3.0"/>
        <n v="150.0"/>
        <n v="283.0"/>
        <n v="391.0"/>
        <n v="462.0"/>
        <n v="23.0"/>
        <n v="186.0"/>
        <n v="66.0"/>
        <m/>
      </sharedItems>
    </cacheField>
    <cacheField name="Saldo atual" numFmtId="0">
      <sharedItems containsString="0" containsBlank="1" containsNumber="1" containsInteger="1">
        <n v="6.0"/>
        <n v="258.0"/>
        <n v="93.0"/>
        <n v="86.0"/>
        <n v="209.0"/>
        <n v="100.0"/>
        <n v="101.0"/>
        <n v="145.0"/>
        <n v="83.0"/>
        <n v="319.0"/>
        <n v="36.0"/>
        <n v="-39.0"/>
        <n v="388.0"/>
        <n v="157.0"/>
        <n v="47.0"/>
        <n v="148.0"/>
        <n v="-10.0"/>
        <n v="171.0"/>
        <n v="-174.0"/>
        <n v="307.0"/>
        <n v="430.0"/>
        <n v="619.0"/>
        <n v="43.0"/>
        <n v="180.0"/>
        <n v="278.0"/>
        <n v="76.0"/>
        <n v="58.0"/>
        <n v="556.0"/>
        <n v="-7.0"/>
        <n v="23.0"/>
        <n v="296.0"/>
        <n v="-261.0"/>
        <n v="17.0"/>
        <n v="295.0"/>
        <n v="53.0"/>
        <n v="265.0"/>
        <n v="-59.0"/>
        <n v="27.0"/>
        <n v="-47.0"/>
        <n v="195.0"/>
        <n v="137.0"/>
        <n v="-38.0"/>
        <n v="280.0"/>
        <n v="-99.0"/>
        <n v="125.0"/>
        <n v="62.0"/>
        <n v="360.0"/>
        <n v="229.0"/>
        <n v="591.0"/>
        <n v="529.0"/>
        <n v="133.0"/>
        <n v="344.0"/>
        <n v="116.0"/>
        <n v="60.0"/>
        <n v="377.0"/>
        <n v="348.0"/>
        <n v="-107.0"/>
        <n v="18.0"/>
        <n v="-64.0"/>
        <n v="240.0"/>
        <n v="221.0"/>
        <n v="256.0"/>
        <n v="54.0"/>
        <n v="128.0"/>
        <n v="-66.0"/>
        <n v="196.0"/>
        <n v="294.0"/>
        <n v="-207.0"/>
        <n v="363.0"/>
        <n v="192.0"/>
        <n v="-46.0"/>
        <n v="119.0"/>
        <n v="316.0"/>
        <n v="103.0"/>
        <n v="290.0"/>
        <n v="61.0"/>
        <n v="194.0"/>
        <n v="236.0"/>
        <n v="292.0"/>
        <n v="-160.0"/>
        <n v="781.0"/>
        <n v="-277.0"/>
        <n v="187.0"/>
        <n v="159.0"/>
        <n v="-75.0"/>
        <n v="-51.0"/>
        <n v="156.0"/>
        <n v="455.0"/>
        <n v="123.0"/>
        <n v="281.0"/>
        <n v="481.0"/>
        <n v="-23.0"/>
        <n v="418.0"/>
        <n v="139.0"/>
        <n v="-71.0"/>
        <n v="223.0"/>
        <n v="164.0"/>
        <n v="219.0"/>
        <n v="117.0"/>
        <n v="150.0"/>
        <n v="64.0"/>
        <n v="85.0"/>
        <n v="177.0"/>
        <n v="21.0"/>
        <n v="239.0"/>
        <n v="-225.0"/>
        <n v="232.0"/>
        <m/>
      </sharedItems>
    </cacheField>
    <cacheField name="Valor em estoque" numFmtId="165">
      <sharedItems containsString="0" containsBlank="1" containsNumber="1">
        <n v="5858.16"/>
        <n v="168259.86"/>
        <n v="48669.69"/>
        <n v="8688.58"/>
        <n v="81495.37"/>
        <n v="23868.0"/>
        <n v="39949.54"/>
        <n v="14094.0"/>
        <n v="77910.44"/>
        <n v="171251.96000000002"/>
        <n v="153981.3"/>
        <n v="27221.399999999998"/>
        <n v="-37691.16"/>
        <n v="86741.28"/>
        <n v="40396.1"/>
        <n v="17930.97"/>
        <n v="124009.2"/>
        <n v="-7150.1"/>
        <n v="67257.72"/>
        <n v="-41880.06"/>
        <n v="146684.6"/>
        <n v="201885.0"/>
        <n v="269667.35"/>
        <n v="21129.34"/>
        <n v="45151.2"/>
        <n v="223056.08000000002"/>
        <n v="12716.32"/>
        <n v="7005.820000000001"/>
        <n v="117160.31999999999"/>
        <n v="-1891.8899999999999"/>
        <n v="16355.300000000001"/>
        <n v="243818.16"/>
        <n v="5064.72"/>
        <n v="37911.12"/>
        <n v="-65993.84999999999"/>
        <n v="13182.480000000001"/>
        <n v="59218.3"/>
        <n v="18413.79"/>
        <n v="187071.44999999998"/>
        <n v="-21551.519999999997"/>
        <n v="77831.65"/>
        <n v="23685.21"/>
        <n v="-17852.95"/>
        <n v="193250.85"/>
        <n v="23873.62"/>
        <n v="-12919.240000000002"/>
        <n v="40250.0"/>
        <n v="-12354.210000000001"/>
        <n v="105177.15"/>
        <n v="15177.5"/>
        <n v="11666.539999999999"/>
        <n v="77943.59999999999"/>
        <n v="210510.54"/>
        <n v="297970.38"/>
        <n v="419597.51"/>
        <n v="72185.75"/>
        <n v="125181.59999999999"/>
        <n v="67763.72"/>
        <n v="49246.799999999996"/>
        <n v="34838.57"/>
        <n v="340204.8"/>
        <n v="-62146.66999999999"/>
        <n v="-41074.090000000004"/>
        <n v="13028.4"/>
        <n v="-32196.48"/>
        <n v="178152.0"/>
        <n v="111936.5"/>
        <n v="221089.28"/>
        <n v="31181.219999999998"/>
        <n v="75375.36"/>
        <n v="-48929.76"/>
        <n v="17555.719999999998"/>
        <n v="164687.03999999998"/>
        <n v="-63379.26"/>
        <n v="181220.49000000002"/>
        <n v="160103.04"/>
        <n v="-12893.34"/>
        <n v="209515.52"/>
        <n v="98854.49"/>
        <n v="96759.2"/>
        <n v="340776.51"/>
        <n v="19365.03"/>
        <n v="116356.70000000001"/>
        <n v="49499.67"/>
        <n v="86846.04000000001"/>
        <n v="158289.92"/>
        <n v="88283.28"/>
        <n v="-105436.8"/>
        <n v="229871.72999999998"/>
        <n v="-138344.88"/>
        <n v="147174.61"/>
        <n v="128263.71"/>
        <n v="-25078.5"/>
        <n v="-46554.840000000004"/>
        <n v="54536.03999999999"/>
        <n v="436718.10000000003"/>
        <n v="188199.4"/>
        <n v="116941.02"/>
        <n v="114063.52"/>
        <n v="245569.74000000002"/>
        <n v="-21871.39"/>
        <n v="282860.60000000003"/>
        <n v="53274.53"/>
        <n v="-42444.509999999995"/>
        <n v="122594.25"/>
        <n v="94542.72"/>
        <n v="203913.09"/>
        <n v="113237.28"/>
        <n v="102408.0"/>
        <n v="26808.96"/>
        <n v="78843.45"/>
        <n v="159015.03"/>
        <n v="62390.68"/>
        <n v="5996.97"/>
        <n v="34229.58"/>
        <n v="145403.91"/>
        <n v="-122980.50000000001"/>
        <n v="159940.8"/>
        <n v="184040.96"/>
        <n v="166831.19999999998"/>
        <m/>
      </sharedItems>
    </cacheField>
    <cacheField name="Status" numFmtId="0">
      <sharedItems containsBlank="1">
        <s v="crítico"/>
        <s v="excesso"/>
        <s v="ok"/>
        <s v="estoque negativo"/>
        <m/>
      </sharedItems>
    </cacheField>
    <cacheField name=" " numFmtId="0">
      <sharedItems containsBlank="1">
        <s v="Crítico"/>
        <s v="Excesso"/>
        <s v="OK"/>
        <s v="Estoque Negativo"/>
        <m/>
      </sharedItems>
    </cacheField>
    <cacheField name=" 2" numFmtId="0">
      <sharedItems containsBlank="1">
        <b v="1"/>
        <b v="0"/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inel" cacheId="0" dataCaption="" compact="0" compactData="0">
  <location ref="A3:E11" firstHeaderRow="0" firstDataRow="2" firstDataCol="0" rowPageCount="1" colPageCount="1"/>
  <pivotFields>
    <pivotField name="SKU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h="1" x="120"/>
        <item t="default"/>
      </items>
    </pivotField>
    <pivotField name="Categoria" axis="axisRow" compact="0" outline="0" multipleItemSelectionAllowed="1" showAll="0" sortType="ascending">
      <items>
        <item x="7"/>
        <item x="3"/>
        <item x="6"/>
        <item x="0"/>
        <item x="5"/>
        <item x="4"/>
        <item x="2"/>
        <item x="1"/>
        <item t="default"/>
      </items>
    </pivotField>
    <pivotField name="Preço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Entra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Saíd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Saldo a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Valor em estoq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2" compact="0" outline="0" multipleItemSelectionAllowed="1" showAll="0">
      <items>
        <item x="0"/>
        <item x="1"/>
        <item x="2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</pivotFields>
  <rowFields>
    <field x="1"/>
  </rowFields>
  <colFields>
    <field x="-2"/>
  </colFields>
  <pageFields>
    <pageField fld="0"/>
  </pageFields>
  <dataFields>
    <dataField name="SUM of Valor em estoque" fld="6" baseField="0"/>
    <dataField name="COUNTA of SKU" fld="0" subtotal="count" baseField="0"/>
    <dataField name="AVERAGE of Preço" fld="2" subtotal="average" baseField="0"/>
    <dataField name="SUM of Saída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6.71"/>
    <col customWidth="1" min="3" max="3" width="21.0"/>
    <col customWidth="1" min="4" max="4" width="11.43"/>
    <col customWidth="1" min="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45722.0</v>
      </c>
      <c r="B2" s="4" t="s">
        <v>4</v>
      </c>
      <c r="C2" s="4" t="s">
        <v>5</v>
      </c>
      <c r="D2" s="4">
        <v>30.0</v>
      </c>
    </row>
    <row r="3">
      <c r="A3" s="3">
        <v>45728.0</v>
      </c>
      <c r="B3" s="4" t="s">
        <v>6</v>
      </c>
      <c r="C3" s="4" t="s">
        <v>5</v>
      </c>
      <c r="D3" s="4">
        <v>57.0</v>
      </c>
    </row>
    <row r="4">
      <c r="A4" s="3">
        <v>45678.0</v>
      </c>
      <c r="B4" s="4" t="s">
        <v>7</v>
      </c>
      <c r="C4" s="4" t="s">
        <v>8</v>
      </c>
      <c r="D4" s="4">
        <v>20.0</v>
      </c>
    </row>
    <row r="5">
      <c r="A5" s="3">
        <v>45667.0</v>
      </c>
      <c r="B5" s="4" t="s">
        <v>9</v>
      </c>
      <c r="C5" s="4" t="s">
        <v>8</v>
      </c>
      <c r="D5" s="4">
        <v>19.0</v>
      </c>
    </row>
    <row r="6">
      <c r="A6" s="3">
        <v>45708.0</v>
      </c>
      <c r="B6" s="4" t="s">
        <v>10</v>
      </c>
      <c r="C6" s="4" t="s">
        <v>8</v>
      </c>
      <c r="D6" s="4">
        <v>127.0</v>
      </c>
    </row>
    <row r="7">
      <c r="A7" s="3">
        <v>45692.0</v>
      </c>
      <c r="B7" s="4" t="s">
        <v>11</v>
      </c>
      <c r="C7" s="4" t="s">
        <v>5</v>
      </c>
      <c r="D7" s="4">
        <v>114.0</v>
      </c>
    </row>
    <row r="8">
      <c r="A8" s="3">
        <v>45718.0</v>
      </c>
      <c r="B8" s="4" t="s">
        <v>12</v>
      </c>
      <c r="C8" s="4" t="s">
        <v>13</v>
      </c>
      <c r="D8" s="4">
        <v>46.0</v>
      </c>
    </row>
    <row r="9">
      <c r="A9" s="3">
        <v>45732.0</v>
      </c>
      <c r="B9" s="4" t="s">
        <v>14</v>
      </c>
      <c r="C9" s="4" t="s">
        <v>8</v>
      </c>
      <c r="D9" s="4">
        <v>60.0</v>
      </c>
    </row>
    <row r="10">
      <c r="A10" s="3">
        <v>45683.0</v>
      </c>
      <c r="B10" s="4" t="s">
        <v>15</v>
      </c>
      <c r="C10" s="4" t="s">
        <v>16</v>
      </c>
      <c r="D10" s="4">
        <v>2.0</v>
      </c>
    </row>
    <row r="11">
      <c r="A11" s="3">
        <v>45673.0</v>
      </c>
      <c r="B11" s="4" t="s">
        <v>17</v>
      </c>
      <c r="C11" s="4" t="s">
        <v>16</v>
      </c>
      <c r="D11" s="4">
        <v>75.0</v>
      </c>
    </row>
    <row r="12">
      <c r="A12" s="3">
        <v>45677.0</v>
      </c>
      <c r="B12" s="4" t="s">
        <v>18</v>
      </c>
      <c r="C12" s="4" t="s">
        <v>13</v>
      </c>
      <c r="D12" s="4">
        <v>3.0</v>
      </c>
    </row>
    <row r="13">
      <c r="A13" s="3">
        <v>45661.0</v>
      </c>
      <c r="B13" s="4" t="s">
        <v>19</v>
      </c>
      <c r="C13" s="4" t="s">
        <v>20</v>
      </c>
      <c r="D13" s="4">
        <v>113.0</v>
      </c>
    </row>
    <row r="14">
      <c r="A14" s="3">
        <v>45722.0</v>
      </c>
      <c r="B14" s="4" t="s">
        <v>21</v>
      </c>
      <c r="C14" s="4" t="s">
        <v>22</v>
      </c>
      <c r="D14" s="4">
        <v>34.0</v>
      </c>
    </row>
    <row r="15">
      <c r="A15" s="3">
        <v>45715.0</v>
      </c>
      <c r="B15" s="4" t="s">
        <v>23</v>
      </c>
      <c r="C15" s="4" t="s">
        <v>24</v>
      </c>
      <c r="D15" s="4">
        <v>56.0</v>
      </c>
    </row>
    <row r="16">
      <c r="A16" s="3">
        <v>45703.0</v>
      </c>
      <c r="B16" s="4" t="s">
        <v>25</v>
      </c>
      <c r="C16" s="4" t="s">
        <v>26</v>
      </c>
      <c r="D16" s="4">
        <v>104.0</v>
      </c>
    </row>
    <row r="17">
      <c r="A17" s="3">
        <v>45711.0</v>
      </c>
      <c r="B17" s="4" t="s">
        <v>27</v>
      </c>
      <c r="C17" s="4" t="s">
        <v>28</v>
      </c>
      <c r="D17" s="4">
        <v>60.0</v>
      </c>
    </row>
    <row r="18">
      <c r="A18" s="3">
        <v>45691.0</v>
      </c>
      <c r="B18" s="4" t="s">
        <v>29</v>
      </c>
      <c r="C18" s="4" t="s">
        <v>16</v>
      </c>
      <c r="D18" s="4">
        <v>130.0</v>
      </c>
    </row>
    <row r="19">
      <c r="A19" s="3">
        <v>45685.0</v>
      </c>
      <c r="B19" s="4" t="s">
        <v>30</v>
      </c>
      <c r="C19" s="4" t="s">
        <v>31</v>
      </c>
      <c r="D19" s="4">
        <v>147.0</v>
      </c>
    </row>
    <row r="20">
      <c r="A20" s="3">
        <v>45693.0</v>
      </c>
      <c r="B20" s="4" t="s">
        <v>32</v>
      </c>
      <c r="C20" s="4" t="s">
        <v>22</v>
      </c>
      <c r="D20" s="4">
        <v>36.0</v>
      </c>
    </row>
    <row r="21" ht="15.75" customHeight="1">
      <c r="A21" s="3">
        <v>45734.0</v>
      </c>
      <c r="B21" s="4" t="s">
        <v>33</v>
      </c>
      <c r="C21" s="4" t="s">
        <v>28</v>
      </c>
      <c r="D21" s="4">
        <v>58.0</v>
      </c>
    </row>
    <row r="22" ht="15.75" customHeight="1">
      <c r="A22" s="3">
        <v>45690.0</v>
      </c>
      <c r="B22" s="4" t="s">
        <v>34</v>
      </c>
      <c r="C22" s="4" t="s">
        <v>28</v>
      </c>
      <c r="D22" s="4">
        <v>7.0</v>
      </c>
    </row>
    <row r="23" ht="15.75" customHeight="1">
      <c r="A23" s="3">
        <v>45742.0</v>
      </c>
      <c r="B23" s="4" t="s">
        <v>35</v>
      </c>
      <c r="C23" s="4" t="s">
        <v>8</v>
      </c>
      <c r="D23" s="4">
        <v>39.0</v>
      </c>
    </row>
    <row r="24" ht="15.75" customHeight="1">
      <c r="A24" s="3">
        <v>45666.0</v>
      </c>
      <c r="B24" s="4" t="s">
        <v>36</v>
      </c>
      <c r="C24" s="4" t="s">
        <v>22</v>
      </c>
      <c r="D24" s="4">
        <v>148.0</v>
      </c>
    </row>
    <row r="25" ht="15.75" customHeight="1">
      <c r="A25" s="3">
        <v>45664.0</v>
      </c>
      <c r="B25" s="4" t="s">
        <v>37</v>
      </c>
      <c r="C25" s="4" t="s">
        <v>8</v>
      </c>
      <c r="D25" s="4">
        <v>95.0</v>
      </c>
    </row>
    <row r="26" ht="15.75" customHeight="1">
      <c r="A26" s="3">
        <v>45736.0</v>
      </c>
      <c r="B26" s="4" t="s">
        <v>38</v>
      </c>
      <c r="C26" s="4" t="s">
        <v>39</v>
      </c>
      <c r="D26" s="4">
        <v>111.0</v>
      </c>
    </row>
    <row r="27" ht="15.75" customHeight="1">
      <c r="A27" s="3">
        <v>45730.0</v>
      </c>
      <c r="B27" s="4" t="s">
        <v>40</v>
      </c>
      <c r="C27" s="4" t="s">
        <v>41</v>
      </c>
      <c r="D27" s="4">
        <v>92.0</v>
      </c>
    </row>
    <row r="28" ht="15.75" customHeight="1">
      <c r="A28" s="3">
        <v>45694.0</v>
      </c>
      <c r="B28" s="4" t="s">
        <v>42</v>
      </c>
      <c r="C28" s="4" t="s">
        <v>24</v>
      </c>
      <c r="D28" s="4">
        <v>75.0</v>
      </c>
    </row>
    <row r="29" ht="15.75" customHeight="1">
      <c r="A29" s="3">
        <v>45694.0</v>
      </c>
      <c r="B29" s="4" t="s">
        <v>43</v>
      </c>
      <c r="C29" s="4" t="s">
        <v>16</v>
      </c>
      <c r="D29" s="4">
        <v>135.0</v>
      </c>
    </row>
    <row r="30" ht="15.75" customHeight="1">
      <c r="A30" s="3">
        <v>45667.0</v>
      </c>
      <c r="B30" s="4" t="s">
        <v>44</v>
      </c>
      <c r="C30" s="4" t="s">
        <v>20</v>
      </c>
      <c r="D30" s="4">
        <v>115.0</v>
      </c>
    </row>
    <row r="31" ht="15.75" customHeight="1">
      <c r="A31" s="3">
        <v>45739.0</v>
      </c>
      <c r="B31" s="4" t="s">
        <v>45</v>
      </c>
      <c r="C31" s="4" t="s">
        <v>24</v>
      </c>
      <c r="D31" s="4">
        <v>121.0</v>
      </c>
    </row>
    <row r="32" ht="15.75" customHeight="1">
      <c r="A32" s="3">
        <v>45717.0</v>
      </c>
      <c r="B32" s="4" t="s">
        <v>46</v>
      </c>
      <c r="C32" s="4" t="s">
        <v>20</v>
      </c>
      <c r="D32" s="4">
        <v>116.0</v>
      </c>
    </row>
    <row r="33" ht="15.75" customHeight="1">
      <c r="A33" s="3">
        <v>45728.0</v>
      </c>
      <c r="B33" s="4" t="s">
        <v>47</v>
      </c>
      <c r="C33" s="4" t="s">
        <v>22</v>
      </c>
      <c r="D33" s="4">
        <v>45.0</v>
      </c>
    </row>
    <row r="34" ht="15.75" customHeight="1">
      <c r="A34" s="3">
        <v>45704.0</v>
      </c>
      <c r="B34" s="4" t="s">
        <v>21</v>
      </c>
      <c r="C34" s="4" t="s">
        <v>22</v>
      </c>
      <c r="D34" s="4">
        <v>145.0</v>
      </c>
    </row>
    <row r="35" ht="15.75" customHeight="1">
      <c r="A35" s="3">
        <v>45671.0</v>
      </c>
      <c r="B35" s="4" t="s">
        <v>33</v>
      </c>
      <c r="C35" s="4" t="s">
        <v>28</v>
      </c>
      <c r="D35" s="4">
        <v>105.0</v>
      </c>
    </row>
    <row r="36" ht="15.75" customHeight="1">
      <c r="A36" s="3">
        <v>45697.0</v>
      </c>
      <c r="B36" s="4" t="s">
        <v>48</v>
      </c>
      <c r="C36" s="4" t="s">
        <v>22</v>
      </c>
      <c r="D36" s="4">
        <v>71.0</v>
      </c>
    </row>
    <row r="37" ht="15.75" customHeight="1">
      <c r="A37" s="3">
        <v>45738.0</v>
      </c>
      <c r="B37" s="4" t="s">
        <v>49</v>
      </c>
      <c r="C37" s="4" t="s">
        <v>50</v>
      </c>
      <c r="D37" s="4">
        <v>17.0</v>
      </c>
    </row>
    <row r="38" ht="15.75" customHeight="1">
      <c r="A38" s="3">
        <v>45687.0</v>
      </c>
      <c r="B38" s="4" t="s">
        <v>51</v>
      </c>
      <c r="C38" s="4" t="s">
        <v>52</v>
      </c>
      <c r="D38" s="4">
        <v>59.0</v>
      </c>
    </row>
    <row r="39" ht="15.75" customHeight="1">
      <c r="A39" s="3">
        <v>45670.0</v>
      </c>
      <c r="B39" s="4" t="s">
        <v>53</v>
      </c>
      <c r="C39" s="4" t="s">
        <v>50</v>
      </c>
      <c r="D39" s="4">
        <v>52.0</v>
      </c>
    </row>
    <row r="40" ht="15.75" customHeight="1">
      <c r="A40" s="3">
        <v>45705.0</v>
      </c>
      <c r="B40" s="4" t="s">
        <v>54</v>
      </c>
      <c r="C40" s="4" t="s">
        <v>22</v>
      </c>
      <c r="D40" s="4">
        <v>114.0</v>
      </c>
    </row>
    <row r="41" ht="15.75" customHeight="1">
      <c r="A41" s="3">
        <v>45723.0</v>
      </c>
      <c r="B41" s="4" t="s">
        <v>55</v>
      </c>
      <c r="C41" s="4" t="s">
        <v>24</v>
      </c>
      <c r="D41" s="4">
        <v>17.0</v>
      </c>
    </row>
    <row r="42" ht="15.75" customHeight="1">
      <c r="A42" s="3">
        <v>45733.0</v>
      </c>
      <c r="B42" s="4" t="s">
        <v>56</v>
      </c>
      <c r="C42" s="4" t="s">
        <v>5</v>
      </c>
      <c r="D42" s="4">
        <v>39.0</v>
      </c>
    </row>
    <row r="43" ht="15.75" customHeight="1">
      <c r="A43" s="3">
        <v>45682.0</v>
      </c>
      <c r="B43" s="4" t="s">
        <v>12</v>
      </c>
      <c r="C43" s="4" t="s">
        <v>13</v>
      </c>
      <c r="D43" s="4">
        <v>142.0</v>
      </c>
    </row>
    <row r="44" ht="15.75" customHeight="1">
      <c r="A44" s="3">
        <v>45724.0</v>
      </c>
      <c r="B44" s="4" t="s">
        <v>57</v>
      </c>
      <c r="C44" s="4" t="s">
        <v>8</v>
      </c>
      <c r="D44" s="4">
        <v>120.0</v>
      </c>
    </row>
    <row r="45" ht="15.75" customHeight="1">
      <c r="A45" s="3">
        <v>45732.0</v>
      </c>
      <c r="B45" s="4" t="s">
        <v>40</v>
      </c>
      <c r="C45" s="4" t="s">
        <v>41</v>
      </c>
      <c r="D45" s="4">
        <v>111.0</v>
      </c>
    </row>
    <row r="46" ht="15.75" customHeight="1">
      <c r="A46" s="3">
        <v>45691.0</v>
      </c>
      <c r="B46" s="4" t="s">
        <v>58</v>
      </c>
      <c r="C46" s="4" t="s">
        <v>24</v>
      </c>
      <c r="D46" s="4">
        <v>48.0</v>
      </c>
    </row>
    <row r="47" ht="15.75" customHeight="1">
      <c r="A47" s="3">
        <v>45723.0</v>
      </c>
      <c r="B47" s="4" t="s">
        <v>11</v>
      </c>
      <c r="C47" s="4" t="s">
        <v>5</v>
      </c>
      <c r="D47" s="4">
        <v>87.0</v>
      </c>
    </row>
    <row r="48" ht="15.75" customHeight="1">
      <c r="A48" s="3">
        <v>45732.0</v>
      </c>
      <c r="B48" s="4" t="s">
        <v>57</v>
      </c>
      <c r="C48" s="4" t="s">
        <v>8</v>
      </c>
      <c r="D48" s="4">
        <v>42.0</v>
      </c>
    </row>
    <row r="49" ht="15.75" customHeight="1">
      <c r="A49" s="3">
        <v>45667.0</v>
      </c>
      <c r="B49" s="4" t="s">
        <v>59</v>
      </c>
      <c r="C49" s="4" t="s">
        <v>16</v>
      </c>
      <c r="D49" s="4">
        <v>87.0</v>
      </c>
    </row>
    <row r="50" ht="15.75" customHeight="1">
      <c r="A50" s="3">
        <v>45718.0</v>
      </c>
      <c r="B50" s="4" t="s">
        <v>53</v>
      </c>
      <c r="C50" s="4" t="s">
        <v>50</v>
      </c>
      <c r="D50" s="4">
        <v>73.0</v>
      </c>
    </row>
    <row r="51" ht="15.75" customHeight="1">
      <c r="A51" s="3">
        <v>45711.0</v>
      </c>
      <c r="B51" s="4" t="s">
        <v>60</v>
      </c>
      <c r="C51" s="4" t="s">
        <v>24</v>
      </c>
      <c r="D51" s="4">
        <v>63.0</v>
      </c>
    </row>
    <row r="52" ht="15.75" customHeight="1">
      <c r="A52" s="3">
        <v>45733.0</v>
      </c>
      <c r="B52" s="4" t="s">
        <v>57</v>
      </c>
      <c r="C52" s="4" t="s">
        <v>8</v>
      </c>
      <c r="D52" s="4">
        <v>98.0</v>
      </c>
    </row>
    <row r="53" ht="15.75" customHeight="1">
      <c r="A53" s="3">
        <v>45665.0</v>
      </c>
      <c r="B53" s="4" t="s">
        <v>61</v>
      </c>
      <c r="C53" s="4" t="s">
        <v>62</v>
      </c>
      <c r="D53" s="4">
        <v>49.0</v>
      </c>
    </row>
    <row r="54" ht="15.75" customHeight="1">
      <c r="A54" s="3">
        <v>45709.0</v>
      </c>
      <c r="B54" s="4" t="s">
        <v>38</v>
      </c>
      <c r="C54" s="4" t="s">
        <v>39</v>
      </c>
      <c r="D54" s="4">
        <v>110.0</v>
      </c>
    </row>
    <row r="55" ht="15.75" customHeight="1">
      <c r="A55" s="3">
        <v>45671.0</v>
      </c>
      <c r="B55" s="4" t="s">
        <v>63</v>
      </c>
      <c r="C55" s="4" t="s">
        <v>26</v>
      </c>
      <c r="D55" s="4">
        <v>47.0</v>
      </c>
    </row>
    <row r="56" ht="15.75" customHeight="1">
      <c r="A56" s="3">
        <v>45707.0</v>
      </c>
      <c r="B56" s="4" t="s">
        <v>34</v>
      </c>
      <c r="C56" s="4" t="s">
        <v>28</v>
      </c>
      <c r="D56" s="4">
        <v>19.0</v>
      </c>
    </row>
    <row r="57" ht="15.75" customHeight="1">
      <c r="A57" s="3">
        <v>45718.0</v>
      </c>
      <c r="B57" s="4" t="s">
        <v>63</v>
      </c>
      <c r="C57" s="4" t="s">
        <v>26</v>
      </c>
      <c r="D57" s="4">
        <v>8.0</v>
      </c>
    </row>
    <row r="58" ht="15.75" customHeight="1">
      <c r="A58" s="3">
        <v>45690.0</v>
      </c>
      <c r="B58" s="4" t="s">
        <v>64</v>
      </c>
      <c r="C58" s="4" t="s">
        <v>41</v>
      </c>
      <c r="D58" s="4">
        <v>66.0</v>
      </c>
    </row>
    <row r="59" ht="15.75" customHeight="1">
      <c r="A59" s="3">
        <v>45666.0</v>
      </c>
      <c r="B59" s="4" t="s">
        <v>55</v>
      </c>
      <c r="C59" s="4" t="s">
        <v>24</v>
      </c>
      <c r="D59" s="4">
        <v>49.0</v>
      </c>
    </row>
    <row r="60" ht="15.75" customHeight="1">
      <c r="A60" s="3">
        <v>45742.0</v>
      </c>
      <c r="B60" s="4" t="s">
        <v>65</v>
      </c>
      <c r="C60" s="4" t="s">
        <v>5</v>
      </c>
      <c r="D60" s="4">
        <v>147.0</v>
      </c>
    </row>
    <row r="61" ht="15.75" customHeight="1">
      <c r="A61" s="3">
        <v>45679.0</v>
      </c>
      <c r="B61" s="4" t="s">
        <v>35</v>
      </c>
      <c r="C61" s="4" t="s">
        <v>8</v>
      </c>
      <c r="D61" s="4">
        <v>19.0</v>
      </c>
    </row>
    <row r="62" ht="15.75" customHeight="1">
      <c r="A62" s="3">
        <v>45705.0</v>
      </c>
      <c r="B62" s="4" t="s">
        <v>66</v>
      </c>
      <c r="C62" s="4" t="s">
        <v>52</v>
      </c>
      <c r="D62" s="4">
        <v>126.0</v>
      </c>
    </row>
    <row r="63" ht="15.75" customHeight="1">
      <c r="A63" s="3">
        <v>45721.0</v>
      </c>
      <c r="B63" s="4" t="s">
        <v>67</v>
      </c>
      <c r="C63" s="4" t="s">
        <v>39</v>
      </c>
      <c r="D63" s="4">
        <v>77.0</v>
      </c>
    </row>
    <row r="64" ht="15.75" customHeight="1">
      <c r="A64" s="3">
        <v>45689.0</v>
      </c>
      <c r="B64" s="4" t="s">
        <v>17</v>
      </c>
      <c r="C64" s="4" t="s">
        <v>16</v>
      </c>
      <c r="D64" s="4">
        <v>118.0</v>
      </c>
    </row>
    <row r="65" ht="15.75" customHeight="1">
      <c r="A65" s="3">
        <v>45699.0</v>
      </c>
      <c r="B65" s="4" t="s">
        <v>68</v>
      </c>
      <c r="C65" s="4" t="s">
        <v>62</v>
      </c>
      <c r="D65" s="4">
        <v>98.0</v>
      </c>
    </row>
    <row r="66" ht="15.75" customHeight="1">
      <c r="A66" s="3">
        <v>45682.0</v>
      </c>
      <c r="B66" s="4" t="s">
        <v>48</v>
      </c>
      <c r="C66" s="4" t="s">
        <v>22</v>
      </c>
      <c r="D66" s="4">
        <v>13.0</v>
      </c>
    </row>
    <row r="67" ht="15.75" customHeight="1">
      <c r="A67" s="3">
        <v>45703.0</v>
      </c>
      <c r="B67" s="4" t="s">
        <v>69</v>
      </c>
      <c r="C67" s="4" t="s">
        <v>24</v>
      </c>
      <c r="D67" s="4">
        <v>55.0</v>
      </c>
    </row>
    <row r="68" ht="15.75" customHeight="1">
      <c r="A68" s="3">
        <v>45665.0</v>
      </c>
      <c r="B68" s="4" t="s">
        <v>69</v>
      </c>
      <c r="C68" s="4" t="s">
        <v>24</v>
      </c>
      <c r="D68" s="4">
        <v>8.0</v>
      </c>
    </row>
    <row r="69" ht="15.75" customHeight="1">
      <c r="A69" s="3">
        <v>45665.0</v>
      </c>
      <c r="B69" s="4" t="s">
        <v>70</v>
      </c>
      <c r="C69" s="4" t="s">
        <v>52</v>
      </c>
      <c r="D69" s="4">
        <v>149.0</v>
      </c>
    </row>
    <row r="70" ht="15.75" customHeight="1">
      <c r="A70" s="3">
        <v>45713.0</v>
      </c>
      <c r="B70" s="4" t="s">
        <v>60</v>
      </c>
      <c r="C70" s="4" t="s">
        <v>24</v>
      </c>
      <c r="D70" s="4">
        <v>138.0</v>
      </c>
    </row>
    <row r="71" ht="15.75" customHeight="1">
      <c r="A71" s="3">
        <v>45671.0</v>
      </c>
      <c r="B71" s="4" t="s">
        <v>71</v>
      </c>
      <c r="C71" s="4" t="s">
        <v>20</v>
      </c>
      <c r="D71" s="4">
        <v>69.0</v>
      </c>
    </row>
    <row r="72" ht="15.75" customHeight="1">
      <c r="A72" s="3">
        <v>45715.0</v>
      </c>
      <c r="B72" s="4" t="s">
        <v>18</v>
      </c>
      <c r="C72" s="4" t="s">
        <v>13</v>
      </c>
      <c r="D72" s="4">
        <v>122.0</v>
      </c>
    </row>
    <row r="73" ht="15.75" customHeight="1">
      <c r="A73" s="3">
        <v>45662.0</v>
      </c>
      <c r="B73" s="4" t="s">
        <v>72</v>
      </c>
      <c r="C73" s="4" t="s">
        <v>13</v>
      </c>
      <c r="D73" s="4">
        <v>74.0</v>
      </c>
    </row>
    <row r="74" ht="15.75" customHeight="1">
      <c r="A74" s="3">
        <v>45738.0</v>
      </c>
      <c r="B74" s="4" t="s">
        <v>73</v>
      </c>
      <c r="C74" s="4" t="s">
        <v>13</v>
      </c>
      <c r="D74" s="4">
        <v>35.0</v>
      </c>
    </row>
    <row r="75" ht="15.75" customHeight="1">
      <c r="A75" s="3">
        <v>45666.0</v>
      </c>
      <c r="B75" s="4" t="s">
        <v>74</v>
      </c>
      <c r="C75" s="4" t="s">
        <v>75</v>
      </c>
      <c r="D75" s="4">
        <v>8.0</v>
      </c>
    </row>
    <row r="76" ht="15.75" customHeight="1">
      <c r="A76" s="3">
        <v>45695.0</v>
      </c>
      <c r="B76" s="4" t="s">
        <v>76</v>
      </c>
      <c r="C76" s="4" t="s">
        <v>22</v>
      </c>
      <c r="D76" s="4">
        <v>86.0</v>
      </c>
    </row>
    <row r="77" ht="15.75" customHeight="1">
      <c r="A77" s="3">
        <v>45697.0</v>
      </c>
      <c r="B77" s="4" t="s">
        <v>12</v>
      </c>
      <c r="C77" s="4" t="s">
        <v>13</v>
      </c>
      <c r="D77" s="4">
        <v>32.0</v>
      </c>
    </row>
    <row r="78" ht="15.75" customHeight="1">
      <c r="A78" s="3">
        <v>45734.0</v>
      </c>
      <c r="B78" s="4" t="s">
        <v>23</v>
      </c>
      <c r="C78" s="4" t="s">
        <v>24</v>
      </c>
      <c r="D78" s="4">
        <v>82.0</v>
      </c>
    </row>
    <row r="79" ht="15.75" customHeight="1">
      <c r="A79" s="3">
        <v>45742.0</v>
      </c>
      <c r="B79" s="4" t="s">
        <v>51</v>
      </c>
      <c r="C79" s="4" t="s">
        <v>52</v>
      </c>
      <c r="D79" s="4">
        <v>91.0</v>
      </c>
    </row>
    <row r="80" ht="15.75" customHeight="1">
      <c r="A80" s="3">
        <v>45714.0</v>
      </c>
      <c r="B80" s="4" t="s">
        <v>77</v>
      </c>
      <c r="C80" s="4" t="s">
        <v>50</v>
      </c>
      <c r="D80" s="4">
        <v>149.0</v>
      </c>
    </row>
    <row r="81" ht="15.75" customHeight="1">
      <c r="A81" s="3">
        <v>45730.0</v>
      </c>
      <c r="B81" s="4" t="s">
        <v>44</v>
      </c>
      <c r="C81" s="4" t="s">
        <v>20</v>
      </c>
      <c r="D81" s="4">
        <v>58.0</v>
      </c>
    </row>
    <row r="82" ht="15.75" customHeight="1">
      <c r="A82" s="3">
        <v>45716.0</v>
      </c>
      <c r="B82" s="4" t="s">
        <v>78</v>
      </c>
      <c r="C82" s="4" t="s">
        <v>79</v>
      </c>
      <c r="D82" s="4">
        <v>23.0</v>
      </c>
    </row>
    <row r="83" ht="15.75" customHeight="1">
      <c r="A83" s="3">
        <v>45701.0</v>
      </c>
      <c r="B83" s="4" t="s">
        <v>80</v>
      </c>
      <c r="C83" s="4" t="s">
        <v>22</v>
      </c>
      <c r="D83" s="4">
        <v>11.0</v>
      </c>
    </row>
    <row r="84" ht="15.75" customHeight="1">
      <c r="A84" s="3">
        <v>45666.0</v>
      </c>
      <c r="B84" s="4" t="s">
        <v>76</v>
      </c>
      <c r="C84" s="4" t="s">
        <v>22</v>
      </c>
      <c r="D84" s="4">
        <v>31.0</v>
      </c>
    </row>
    <row r="85" ht="15.75" customHeight="1">
      <c r="A85" s="3">
        <v>45702.0</v>
      </c>
      <c r="B85" s="4" t="s">
        <v>4</v>
      </c>
      <c r="C85" s="4" t="s">
        <v>5</v>
      </c>
      <c r="D85" s="4">
        <v>11.0</v>
      </c>
    </row>
    <row r="86" ht="15.75" customHeight="1">
      <c r="A86" s="3">
        <v>45663.0</v>
      </c>
      <c r="B86" s="4" t="s">
        <v>61</v>
      </c>
      <c r="C86" s="4" t="s">
        <v>62</v>
      </c>
      <c r="D86" s="4">
        <v>127.0</v>
      </c>
    </row>
    <row r="87" ht="15.75" customHeight="1">
      <c r="A87" s="3">
        <v>45657.0</v>
      </c>
      <c r="B87" s="4" t="s">
        <v>81</v>
      </c>
      <c r="C87" s="4" t="s">
        <v>82</v>
      </c>
      <c r="D87" s="4">
        <v>115.0</v>
      </c>
    </row>
    <row r="88" ht="15.75" customHeight="1">
      <c r="A88" s="3">
        <v>45726.0</v>
      </c>
      <c r="B88" s="4" t="s">
        <v>83</v>
      </c>
      <c r="C88" s="4" t="s">
        <v>5</v>
      </c>
      <c r="D88" s="4">
        <v>113.0</v>
      </c>
    </row>
    <row r="89" ht="15.75" customHeight="1">
      <c r="A89" s="3">
        <v>45683.0</v>
      </c>
      <c r="B89" s="4" t="s">
        <v>84</v>
      </c>
      <c r="C89" s="4" t="s">
        <v>85</v>
      </c>
      <c r="D89" s="4">
        <v>67.0</v>
      </c>
    </row>
    <row r="90" ht="15.75" customHeight="1">
      <c r="A90" s="3">
        <v>45674.0</v>
      </c>
      <c r="B90" s="4" t="s">
        <v>49</v>
      </c>
      <c r="C90" s="4" t="s">
        <v>50</v>
      </c>
      <c r="D90" s="4">
        <v>97.0</v>
      </c>
    </row>
    <row r="91" ht="15.75" customHeight="1">
      <c r="A91" s="3">
        <v>45704.0</v>
      </c>
      <c r="B91" s="4" t="s">
        <v>86</v>
      </c>
      <c r="C91" s="4" t="s">
        <v>26</v>
      </c>
      <c r="D91" s="4">
        <v>31.0</v>
      </c>
    </row>
    <row r="92" ht="15.75" customHeight="1">
      <c r="A92" s="3">
        <v>45701.0</v>
      </c>
      <c r="B92" s="4" t="s">
        <v>87</v>
      </c>
      <c r="C92" s="4" t="s">
        <v>39</v>
      </c>
      <c r="D92" s="4">
        <v>126.0</v>
      </c>
    </row>
    <row r="93" ht="15.75" customHeight="1">
      <c r="A93" s="3">
        <v>45661.0</v>
      </c>
      <c r="B93" s="4" t="s">
        <v>88</v>
      </c>
      <c r="C93" s="4" t="s">
        <v>75</v>
      </c>
      <c r="D93" s="4">
        <v>145.0</v>
      </c>
    </row>
    <row r="94" ht="15.75" customHeight="1">
      <c r="A94" s="3">
        <v>45746.0</v>
      </c>
      <c r="B94" s="4" t="s">
        <v>89</v>
      </c>
      <c r="C94" s="4" t="s">
        <v>79</v>
      </c>
      <c r="D94" s="4">
        <v>1.0</v>
      </c>
    </row>
    <row r="95" ht="15.75" customHeight="1">
      <c r="A95" s="3">
        <v>45712.0</v>
      </c>
      <c r="B95" s="4" t="s">
        <v>90</v>
      </c>
      <c r="C95" s="4" t="s">
        <v>39</v>
      </c>
      <c r="D95" s="4">
        <v>134.0</v>
      </c>
    </row>
    <row r="96" ht="15.75" customHeight="1">
      <c r="A96" s="3">
        <v>45677.0</v>
      </c>
      <c r="B96" s="4" t="s">
        <v>91</v>
      </c>
      <c r="C96" s="4" t="s">
        <v>26</v>
      </c>
      <c r="D96" s="4">
        <v>93.0</v>
      </c>
    </row>
    <row r="97" ht="15.75" customHeight="1">
      <c r="A97" s="3">
        <v>45682.0</v>
      </c>
      <c r="B97" s="4" t="s">
        <v>56</v>
      </c>
      <c r="C97" s="4" t="s">
        <v>5</v>
      </c>
      <c r="D97" s="4">
        <v>61.0</v>
      </c>
    </row>
    <row r="98" ht="15.75" customHeight="1">
      <c r="A98" s="3">
        <v>45710.0</v>
      </c>
      <c r="B98" s="4" t="s">
        <v>92</v>
      </c>
      <c r="C98" s="4" t="s">
        <v>82</v>
      </c>
      <c r="D98" s="4">
        <v>104.0</v>
      </c>
    </row>
    <row r="99" ht="15.75" customHeight="1">
      <c r="A99" s="3">
        <v>45690.0</v>
      </c>
      <c r="B99" s="4" t="s">
        <v>93</v>
      </c>
      <c r="C99" s="4" t="s">
        <v>82</v>
      </c>
      <c r="D99" s="4">
        <v>137.0</v>
      </c>
    </row>
    <row r="100" ht="15.75" customHeight="1">
      <c r="A100" s="3">
        <v>45730.0</v>
      </c>
      <c r="B100" s="4" t="s">
        <v>49</v>
      </c>
      <c r="C100" s="4" t="s">
        <v>50</v>
      </c>
      <c r="D100" s="4">
        <v>95.0</v>
      </c>
    </row>
    <row r="101" ht="15.75" customHeight="1">
      <c r="A101" s="3">
        <v>45659.0</v>
      </c>
      <c r="B101" s="4" t="s">
        <v>94</v>
      </c>
      <c r="C101" s="4" t="s">
        <v>52</v>
      </c>
      <c r="D101" s="4">
        <v>30.0</v>
      </c>
    </row>
    <row r="102" ht="15.75" customHeight="1">
      <c r="A102" s="3">
        <v>45732.0</v>
      </c>
      <c r="B102" s="4" t="s">
        <v>42</v>
      </c>
      <c r="C102" s="4" t="s">
        <v>24</v>
      </c>
      <c r="D102" s="4">
        <v>65.0</v>
      </c>
    </row>
    <row r="103" ht="15.75" customHeight="1">
      <c r="A103" s="3">
        <v>45699.0</v>
      </c>
      <c r="B103" s="4" t="s">
        <v>95</v>
      </c>
      <c r="C103" s="4" t="s">
        <v>39</v>
      </c>
      <c r="D103" s="4">
        <v>83.0</v>
      </c>
    </row>
    <row r="104" ht="15.75" customHeight="1">
      <c r="A104" s="3">
        <v>45703.0</v>
      </c>
      <c r="B104" s="4" t="s">
        <v>53</v>
      </c>
      <c r="C104" s="4" t="s">
        <v>50</v>
      </c>
      <c r="D104" s="4">
        <v>102.0</v>
      </c>
    </row>
    <row r="105" ht="15.75" customHeight="1">
      <c r="A105" s="3">
        <v>45672.0</v>
      </c>
      <c r="B105" s="4" t="s">
        <v>36</v>
      </c>
      <c r="C105" s="4" t="s">
        <v>22</v>
      </c>
      <c r="D105" s="4">
        <v>22.0</v>
      </c>
    </row>
    <row r="106" ht="15.75" customHeight="1">
      <c r="A106" s="3">
        <v>45685.0</v>
      </c>
      <c r="B106" s="4" t="s">
        <v>96</v>
      </c>
      <c r="C106" s="4" t="s">
        <v>50</v>
      </c>
      <c r="D106" s="4">
        <v>110.0</v>
      </c>
    </row>
    <row r="107" ht="15.75" customHeight="1">
      <c r="A107" s="3">
        <v>45699.0</v>
      </c>
      <c r="B107" s="4" t="s">
        <v>71</v>
      </c>
      <c r="C107" s="4" t="s">
        <v>20</v>
      </c>
      <c r="D107" s="4">
        <v>94.0</v>
      </c>
    </row>
    <row r="108" ht="15.75" customHeight="1">
      <c r="A108" s="3">
        <v>45707.0</v>
      </c>
      <c r="B108" s="4" t="s">
        <v>97</v>
      </c>
      <c r="C108" s="4" t="s">
        <v>52</v>
      </c>
      <c r="D108" s="4">
        <v>95.0</v>
      </c>
    </row>
    <row r="109" ht="15.75" customHeight="1">
      <c r="A109" s="3">
        <v>45710.0</v>
      </c>
      <c r="B109" s="4" t="s">
        <v>7</v>
      </c>
      <c r="C109" s="4" t="s">
        <v>8</v>
      </c>
      <c r="D109" s="4">
        <v>96.0</v>
      </c>
    </row>
    <row r="110" ht="15.75" customHeight="1">
      <c r="A110" s="3">
        <v>45726.0</v>
      </c>
      <c r="B110" s="4" t="s">
        <v>78</v>
      </c>
      <c r="C110" s="4" t="s">
        <v>79</v>
      </c>
      <c r="D110" s="4">
        <v>114.0</v>
      </c>
    </row>
    <row r="111" ht="15.75" customHeight="1">
      <c r="A111" s="3">
        <v>45689.0</v>
      </c>
      <c r="B111" s="4" t="s">
        <v>98</v>
      </c>
      <c r="C111" s="4" t="s">
        <v>22</v>
      </c>
      <c r="D111" s="4">
        <v>77.0</v>
      </c>
    </row>
    <row r="112" ht="15.75" customHeight="1">
      <c r="A112" s="3">
        <v>45695.0</v>
      </c>
      <c r="B112" s="4" t="s">
        <v>59</v>
      </c>
      <c r="C112" s="4" t="s">
        <v>16</v>
      </c>
      <c r="D112" s="4">
        <v>59.0</v>
      </c>
    </row>
    <row r="113" ht="15.75" customHeight="1">
      <c r="A113" s="3">
        <v>45722.0</v>
      </c>
      <c r="B113" s="4" t="s">
        <v>45</v>
      </c>
      <c r="C113" s="4" t="s">
        <v>24</v>
      </c>
      <c r="D113" s="4">
        <v>147.0</v>
      </c>
    </row>
    <row r="114" ht="15.75" customHeight="1">
      <c r="A114" s="3">
        <v>45727.0</v>
      </c>
      <c r="B114" s="4" t="s">
        <v>99</v>
      </c>
      <c r="C114" s="4" t="s">
        <v>16</v>
      </c>
      <c r="D114" s="4">
        <v>44.0</v>
      </c>
    </row>
    <row r="115" ht="15.75" customHeight="1">
      <c r="A115" s="3">
        <v>45661.0</v>
      </c>
      <c r="B115" s="4" t="s">
        <v>51</v>
      </c>
      <c r="C115" s="4" t="s">
        <v>52</v>
      </c>
      <c r="D115" s="4">
        <v>113.0</v>
      </c>
    </row>
    <row r="116" ht="15.75" customHeight="1">
      <c r="A116" s="3">
        <v>45723.0</v>
      </c>
      <c r="B116" s="4" t="s">
        <v>54</v>
      </c>
      <c r="C116" s="4" t="s">
        <v>22</v>
      </c>
      <c r="D116" s="4">
        <v>55.0</v>
      </c>
    </row>
    <row r="117" ht="15.75" customHeight="1">
      <c r="A117" s="3">
        <v>45678.0</v>
      </c>
      <c r="B117" s="4" t="s">
        <v>76</v>
      </c>
      <c r="C117" s="4" t="s">
        <v>22</v>
      </c>
      <c r="D117" s="4">
        <v>125.0</v>
      </c>
    </row>
    <row r="118" ht="15.75" customHeight="1">
      <c r="A118" s="3">
        <v>45658.0</v>
      </c>
      <c r="B118" s="4" t="s">
        <v>100</v>
      </c>
      <c r="C118" s="4" t="s">
        <v>79</v>
      </c>
      <c r="D118" s="4">
        <v>117.0</v>
      </c>
    </row>
    <row r="119" ht="15.75" customHeight="1">
      <c r="A119" s="3">
        <v>45719.0</v>
      </c>
      <c r="B119" s="4" t="s">
        <v>101</v>
      </c>
      <c r="C119" s="4" t="s">
        <v>24</v>
      </c>
      <c r="D119" s="4">
        <v>43.0</v>
      </c>
    </row>
    <row r="120" ht="15.75" customHeight="1">
      <c r="A120" s="3">
        <v>45736.0</v>
      </c>
      <c r="B120" s="4" t="s">
        <v>30</v>
      </c>
      <c r="C120" s="4" t="s">
        <v>31</v>
      </c>
      <c r="D120" s="4">
        <v>73.0</v>
      </c>
    </row>
    <row r="121" ht="15.75" customHeight="1">
      <c r="A121" s="3">
        <v>45725.0</v>
      </c>
      <c r="B121" s="4" t="s">
        <v>102</v>
      </c>
      <c r="C121" s="4" t="s">
        <v>41</v>
      </c>
      <c r="D121" s="4">
        <v>104.0</v>
      </c>
    </row>
    <row r="122" ht="15.75" customHeight="1">
      <c r="A122" s="3">
        <v>45744.0</v>
      </c>
      <c r="B122" s="4" t="s">
        <v>53</v>
      </c>
      <c r="C122" s="4" t="s">
        <v>50</v>
      </c>
      <c r="D122" s="4">
        <v>67.0</v>
      </c>
    </row>
    <row r="123" ht="15.75" customHeight="1">
      <c r="A123" s="3">
        <v>45730.0</v>
      </c>
      <c r="B123" s="4" t="s">
        <v>72</v>
      </c>
      <c r="C123" s="4" t="s">
        <v>13</v>
      </c>
      <c r="D123" s="4">
        <v>135.0</v>
      </c>
    </row>
    <row r="124" ht="15.75" customHeight="1">
      <c r="A124" s="3">
        <v>45713.0</v>
      </c>
      <c r="B124" s="4" t="s">
        <v>97</v>
      </c>
      <c r="C124" s="4" t="s">
        <v>52</v>
      </c>
      <c r="D124" s="4">
        <v>7.0</v>
      </c>
    </row>
    <row r="125" ht="15.75" customHeight="1">
      <c r="A125" s="3">
        <v>45697.0</v>
      </c>
      <c r="B125" s="4" t="s">
        <v>9</v>
      </c>
      <c r="C125" s="4" t="s">
        <v>8</v>
      </c>
      <c r="D125" s="4">
        <v>109.0</v>
      </c>
    </row>
    <row r="126" ht="15.75" customHeight="1">
      <c r="A126" s="3">
        <v>45673.0</v>
      </c>
      <c r="B126" s="4" t="s">
        <v>67</v>
      </c>
      <c r="C126" s="4" t="s">
        <v>39</v>
      </c>
      <c r="D126" s="4">
        <v>66.0</v>
      </c>
    </row>
    <row r="127" ht="15.75" customHeight="1">
      <c r="A127" s="3">
        <v>45735.0</v>
      </c>
      <c r="B127" s="4" t="s">
        <v>61</v>
      </c>
      <c r="C127" s="4" t="s">
        <v>62</v>
      </c>
      <c r="D127" s="4">
        <v>67.0</v>
      </c>
    </row>
    <row r="128" ht="15.75" customHeight="1">
      <c r="A128" s="3">
        <v>45739.0</v>
      </c>
      <c r="B128" s="4" t="s">
        <v>103</v>
      </c>
      <c r="C128" s="4" t="s">
        <v>26</v>
      </c>
      <c r="D128" s="4">
        <v>24.0</v>
      </c>
    </row>
    <row r="129" ht="15.75" customHeight="1">
      <c r="A129" s="3">
        <v>45660.0</v>
      </c>
      <c r="B129" s="4" t="s">
        <v>71</v>
      </c>
      <c r="C129" s="4" t="s">
        <v>20</v>
      </c>
      <c r="D129" s="4">
        <v>120.0</v>
      </c>
    </row>
    <row r="130" ht="15.75" customHeight="1">
      <c r="A130" s="3">
        <v>45691.0</v>
      </c>
      <c r="B130" s="4" t="s">
        <v>104</v>
      </c>
      <c r="C130" s="4" t="s">
        <v>5</v>
      </c>
      <c r="D130" s="4">
        <v>123.0</v>
      </c>
    </row>
    <row r="131" ht="15.75" customHeight="1">
      <c r="A131" s="3">
        <v>45733.0</v>
      </c>
      <c r="B131" s="4" t="s">
        <v>105</v>
      </c>
      <c r="C131" s="4" t="s">
        <v>79</v>
      </c>
      <c r="D131" s="4">
        <v>45.0</v>
      </c>
    </row>
    <row r="132" ht="15.75" customHeight="1">
      <c r="A132" s="3">
        <v>45728.0</v>
      </c>
      <c r="B132" s="4" t="s">
        <v>32</v>
      </c>
      <c r="C132" s="4" t="s">
        <v>22</v>
      </c>
      <c r="D132" s="4">
        <v>74.0</v>
      </c>
    </row>
    <row r="133" ht="15.75" customHeight="1">
      <c r="A133" s="3">
        <v>45739.0</v>
      </c>
      <c r="B133" s="4" t="s">
        <v>106</v>
      </c>
      <c r="C133" s="4" t="s">
        <v>50</v>
      </c>
      <c r="D133" s="4">
        <v>111.0</v>
      </c>
    </row>
    <row r="134" ht="15.75" customHeight="1">
      <c r="A134" s="3">
        <v>45704.0</v>
      </c>
      <c r="B134" s="4" t="s">
        <v>58</v>
      </c>
      <c r="C134" s="4" t="s">
        <v>24</v>
      </c>
      <c r="D134" s="4">
        <v>44.0</v>
      </c>
    </row>
    <row r="135" ht="15.75" customHeight="1">
      <c r="A135" s="3">
        <v>45746.0</v>
      </c>
      <c r="B135" s="4" t="s">
        <v>107</v>
      </c>
      <c r="C135" s="4" t="s">
        <v>24</v>
      </c>
      <c r="D135" s="4">
        <v>49.0</v>
      </c>
    </row>
    <row r="136" ht="15.75" customHeight="1">
      <c r="A136" s="3">
        <v>45701.0</v>
      </c>
      <c r="B136" s="4" t="s">
        <v>9</v>
      </c>
      <c r="C136" s="4" t="s">
        <v>8</v>
      </c>
      <c r="D136" s="4">
        <v>66.0</v>
      </c>
    </row>
    <row r="137" ht="15.75" customHeight="1">
      <c r="A137" s="3">
        <v>45673.0</v>
      </c>
      <c r="B137" s="4" t="s">
        <v>108</v>
      </c>
      <c r="C137" s="4" t="s">
        <v>109</v>
      </c>
      <c r="D137" s="4">
        <v>11.0</v>
      </c>
    </row>
    <row r="138" ht="15.75" customHeight="1">
      <c r="A138" s="3">
        <v>45711.0</v>
      </c>
      <c r="B138" s="4" t="s">
        <v>88</v>
      </c>
      <c r="C138" s="4" t="s">
        <v>75</v>
      </c>
      <c r="D138" s="4">
        <v>83.0</v>
      </c>
    </row>
    <row r="139" ht="15.75" customHeight="1">
      <c r="A139" s="3">
        <v>45734.0</v>
      </c>
      <c r="B139" s="4" t="s">
        <v>69</v>
      </c>
      <c r="C139" s="4" t="s">
        <v>24</v>
      </c>
      <c r="D139" s="4">
        <v>144.0</v>
      </c>
    </row>
    <row r="140" ht="15.75" customHeight="1">
      <c r="A140" s="3">
        <v>45668.0</v>
      </c>
      <c r="B140" s="4" t="s">
        <v>102</v>
      </c>
      <c r="C140" s="4" t="s">
        <v>41</v>
      </c>
      <c r="D140" s="4">
        <v>78.0</v>
      </c>
    </row>
    <row r="141" ht="15.75" customHeight="1">
      <c r="A141" s="3">
        <v>45660.0</v>
      </c>
      <c r="B141" s="4" t="s">
        <v>58</v>
      </c>
      <c r="C141" s="4" t="s">
        <v>24</v>
      </c>
      <c r="D141" s="4">
        <v>87.0</v>
      </c>
    </row>
    <row r="142" ht="15.75" customHeight="1">
      <c r="A142" s="3">
        <v>45676.0</v>
      </c>
      <c r="B142" s="4" t="s">
        <v>27</v>
      </c>
      <c r="C142" s="4" t="s">
        <v>28</v>
      </c>
      <c r="D142" s="4">
        <v>17.0</v>
      </c>
    </row>
    <row r="143" ht="15.75" customHeight="1">
      <c r="A143" s="3">
        <v>45730.0</v>
      </c>
      <c r="B143" s="4" t="s">
        <v>34</v>
      </c>
      <c r="C143" s="4" t="s">
        <v>28</v>
      </c>
      <c r="D143" s="4">
        <v>69.0</v>
      </c>
    </row>
    <row r="144" ht="15.75" customHeight="1">
      <c r="A144" s="3">
        <v>45722.0</v>
      </c>
      <c r="B144" s="4" t="s">
        <v>110</v>
      </c>
      <c r="C144" s="4" t="s">
        <v>8</v>
      </c>
      <c r="D144" s="4">
        <v>137.0</v>
      </c>
    </row>
    <row r="145" ht="15.75" customHeight="1">
      <c r="A145" s="3">
        <v>45713.0</v>
      </c>
      <c r="B145" s="4" t="s">
        <v>111</v>
      </c>
      <c r="C145" s="4" t="s">
        <v>109</v>
      </c>
      <c r="D145" s="4">
        <v>114.0</v>
      </c>
    </row>
    <row r="146" ht="15.75" customHeight="1">
      <c r="A146" s="3">
        <v>45731.0</v>
      </c>
      <c r="B146" s="4" t="s">
        <v>64</v>
      </c>
      <c r="C146" s="4" t="s">
        <v>41</v>
      </c>
      <c r="D146" s="4">
        <v>24.0</v>
      </c>
    </row>
    <row r="147" ht="15.75" customHeight="1">
      <c r="A147" s="3">
        <v>45658.0</v>
      </c>
      <c r="B147" s="4" t="s">
        <v>73</v>
      </c>
      <c r="C147" s="4" t="s">
        <v>13</v>
      </c>
      <c r="D147" s="4">
        <v>69.0</v>
      </c>
    </row>
    <row r="148" ht="15.75" customHeight="1">
      <c r="A148" s="3">
        <v>45717.0</v>
      </c>
      <c r="B148" s="4" t="s">
        <v>46</v>
      </c>
      <c r="C148" s="4" t="s">
        <v>20</v>
      </c>
      <c r="D148" s="4">
        <v>38.0</v>
      </c>
    </row>
    <row r="149" ht="15.75" customHeight="1">
      <c r="A149" s="3">
        <v>45711.0</v>
      </c>
      <c r="B149" s="4" t="s">
        <v>21</v>
      </c>
      <c r="C149" s="4" t="s">
        <v>22</v>
      </c>
      <c r="D149" s="4">
        <v>112.0</v>
      </c>
    </row>
    <row r="150" ht="15.75" customHeight="1">
      <c r="A150" s="3">
        <v>45722.0</v>
      </c>
      <c r="B150" s="4" t="s">
        <v>77</v>
      </c>
      <c r="C150" s="4" t="s">
        <v>50</v>
      </c>
      <c r="D150" s="4">
        <v>113.0</v>
      </c>
    </row>
    <row r="151" ht="15.75" customHeight="1">
      <c r="A151" s="3">
        <v>45681.0</v>
      </c>
      <c r="B151" s="4" t="s">
        <v>112</v>
      </c>
      <c r="C151" s="4" t="s">
        <v>31</v>
      </c>
      <c r="D151" s="4">
        <v>78.0</v>
      </c>
    </row>
    <row r="152" ht="15.75" customHeight="1">
      <c r="A152" s="3">
        <v>45662.0</v>
      </c>
      <c r="B152" s="4" t="s">
        <v>110</v>
      </c>
      <c r="C152" s="4" t="s">
        <v>8</v>
      </c>
      <c r="D152" s="4">
        <v>76.0</v>
      </c>
    </row>
    <row r="153" ht="15.75" customHeight="1">
      <c r="A153" s="3">
        <v>45661.0</v>
      </c>
      <c r="B153" s="4" t="s">
        <v>113</v>
      </c>
      <c r="C153" s="4" t="s">
        <v>85</v>
      </c>
      <c r="D153" s="4">
        <v>33.0</v>
      </c>
    </row>
    <row r="154" ht="15.75" customHeight="1">
      <c r="A154" s="3">
        <v>45744.0</v>
      </c>
      <c r="B154" s="4" t="s">
        <v>74</v>
      </c>
      <c r="C154" s="4" t="s">
        <v>75</v>
      </c>
      <c r="D154" s="4">
        <v>27.0</v>
      </c>
    </row>
    <row r="155" ht="15.75" customHeight="1">
      <c r="A155" s="3">
        <v>45667.0</v>
      </c>
      <c r="B155" s="4" t="s">
        <v>101</v>
      </c>
      <c r="C155" s="4" t="s">
        <v>24</v>
      </c>
      <c r="D155" s="4">
        <v>112.0</v>
      </c>
    </row>
    <row r="156" ht="15.75" customHeight="1">
      <c r="A156" s="3">
        <v>45741.0</v>
      </c>
      <c r="B156" s="4" t="s">
        <v>18</v>
      </c>
      <c r="C156" s="4" t="s">
        <v>13</v>
      </c>
      <c r="D156" s="4">
        <v>48.0</v>
      </c>
    </row>
    <row r="157" ht="15.75" customHeight="1">
      <c r="A157" s="3">
        <v>45684.0</v>
      </c>
      <c r="B157" s="4" t="s">
        <v>51</v>
      </c>
      <c r="C157" s="4" t="s">
        <v>52</v>
      </c>
      <c r="D157" s="4">
        <v>38.0</v>
      </c>
    </row>
    <row r="158" ht="15.75" customHeight="1">
      <c r="A158" s="3">
        <v>45724.0</v>
      </c>
      <c r="B158" s="4" t="s">
        <v>30</v>
      </c>
      <c r="C158" s="4" t="s">
        <v>31</v>
      </c>
      <c r="D158" s="4">
        <v>50.0</v>
      </c>
    </row>
    <row r="159" ht="15.75" customHeight="1">
      <c r="A159" s="3">
        <v>45712.0</v>
      </c>
      <c r="B159" s="4" t="s">
        <v>68</v>
      </c>
      <c r="C159" s="4" t="s">
        <v>62</v>
      </c>
      <c r="D159" s="4">
        <v>54.0</v>
      </c>
    </row>
    <row r="160" ht="15.75" customHeight="1">
      <c r="A160" s="3">
        <v>45740.0</v>
      </c>
      <c r="B160" s="4" t="s">
        <v>56</v>
      </c>
      <c r="C160" s="4" t="s">
        <v>5</v>
      </c>
      <c r="D160" s="4">
        <v>7.0</v>
      </c>
    </row>
    <row r="161" ht="15.75" customHeight="1">
      <c r="A161" s="3">
        <v>45660.0</v>
      </c>
      <c r="B161" s="4" t="s">
        <v>114</v>
      </c>
      <c r="C161" s="4" t="s">
        <v>75</v>
      </c>
      <c r="D161" s="4">
        <v>122.0</v>
      </c>
    </row>
    <row r="162" ht="15.75" customHeight="1">
      <c r="A162" s="3">
        <v>45680.0</v>
      </c>
      <c r="B162" s="4" t="s">
        <v>115</v>
      </c>
      <c r="C162" s="4" t="s">
        <v>50</v>
      </c>
      <c r="D162" s="4">
        <v>141.0</v>
      </c>
    </row>
    <row r="163" ht="15.75" customHeight="1">
      <c r="A163" s="3">
        <v>45704.0</v>
      </c>
      <c r="B163" s="4" t="s">
        <v>116</v>
      </c>
      <c r="C163" s="4" t="s">
        <v>82</v>
      </c>
      <c r="D163" s="4">
        <v>107.0</v>
      </c>
    </row>
    <row r="164" ht="15.75" customHeight="1">
      <c r="A164" s="3">
        <v>45686.0</v>
      </c>
      <c r="B164" s="4" t="s">
        <v>96</v>
      </c>
      <c r="C164" s="4" t="s">
        <v>50</v>
      </c>
      <c r="D164" s="4">
        <v>16.0</v>
      </c>
    </row>
    <row r="165" ht="15.75" customHeight="1">
      <c r="A165" s="3">
        <v>45692.0</v>
      </c>
      <c r="B165" s="4" t="s">
        <v>105</v>
      </c>
      <c r="C165" s="4" t="s">
        <v>79</v>
      </c>
      <c r="D165" s="4">
        <v>40.0</v>
      </c>
    </row>
    <row r="166" ht="15.75" customHeight="1">
      <c r="A166" s="3">
        <v>45725.0</v>
      </c>
      <c r="B166" s="4" t="s">
        <v>51</v>
      </c>
      <c r="C166" s="4" t="s">
        <v>52</v>
      </c>
      <c r="D166" s="4">
        <v>40.0</v>
      </c>
    </row>
    <row r="167" ht="15.75" customHeight="1">
      <c r="A167" s="3">
        <v>45685.0</v>
      </c>
      <c r="B167" s="4" t="s">
        <v>42</v>
      </c>
      <c r="C167" s="4" t="s">
        <v>24</v>
      </c>
      <c r="D167" s="4">
        <v>45.0</v>
      </c>
    </row>
    <row r="168" ht="15.75" customHeight="1">
      <c r="A168" s="3">
        <v>45692.0</v>
      </c>
      <c r="B168" s="4" t="s">
        <v>89</v>
      </c>
      <c r="C168" s="4" t="s">
        <v>79</v>
      </c>
      <c r="D168" s="4">
        <v>101.0</v>
      </c>
    </row>
    <row r="169" ht="15.75" customHeight="1">
      <c r="A169" s="3">
        <v>45672.0</v>
      </c>
      <c r="B169" s="4" t="s">
        <v>45</v>
      </c>
      <c r="C169" s="4" t="s">
        <v>24</v>
      </c>
      <c r="D169" s="4">
        <v>2.0</v>
      </c>
    </row>
    <row r="170" ht="15.75" customHeight="1">
      <c r="A170" s="3">
        <v>45701.0</v>
      </c>
      <c r="B170" s="4" t="s">
        <v>30</v>
      </c>
      <c r="C170" s="4" t="s">
        <v>31</v>
      </c>
      <c r="D170" s="4">
        <v>141.0</v>
      </c>
    </row>
    <row r="171" ht="15.75" customHeight="1">
      <c r="A171" s="3">
        <v>45674.0</v>
      </c>
      <c r="B171" s="4" t="s">
        <v>81</v>
      </c>
      <c r="C171" s="4" t="s">
        <v>82</v>
      </c>
      <c r="D171" s="4">
        <v>79.0</v>
      </c>
    </row>
    <row r="172" ht="15.75" customHeight="1">
      <c r="A172" s="3">
        <v>45712.0</v>
      </c>
      <c r="B172" s="4" t="s">
        <v>117</v>
      </c>
      <c r="C172" s="4" t="s">
        <v>28</v>
      </c>
      <c r="D172" s="4">
        <v>36.0</v>
      </c>
    </row>
    <row r="173" ht="15.75" customHeight="1">
      <c r="A173" s="3">
        <v>45657.0</v>
      </c>
      <c r="B173" s="4" t="s">
        <v>18</v>
      </c>
      <c r="C173" s="4" t="s">
        <v>13</v>
      </c>
      <c r="D173" s="4">
        <v>96.0</v>
      </c>
    </row>
    <row r="174" ht="15.75" customHeight="1">
      <c r="A174" s="3">
        <v>45690.0</v>
      </c>
      <c r="B174" s="4" t="s">
        <v>68</v>
      </c>
      <c r="C174" s="4" t="s">
        <v>62</v>
      </c>
      <c r="D174" s="4">
        <v>16.0</v>
      </c>
    </row>
    <row r="175" ht="15.75" customHeight="1">
      <c r="A175" s="3">
        <v>45710.0</v>
      </c>
      <c r="B175" s="4" t="s">
        <v>51</v>
      </c>
      <c r="C175" s="4" t="s">
        <v>52</v>
      </c>
      <c r="D175" s="4">
        <v>36.0</v>
      </c>
    </row>
    <row r="176" ht="15.75" customHeight="1">
      <c r="A176" s="3">
        <v>45732.0</v>
      </c>
      <c r="B176" s="4" t="s">
        <v>71</v>
      </c>
      <c r="C176" s="4" t="s">
        <v>20</v>
      </c>
      <c r="D176" s="4">
        <v>97.0</v>
      </c>
    </row>
    <row r="177" ht="15.75" customHeight="1">
      <c r="A177" s="3">
        <v>45730.0</v>
      </c>
      <c r="B177" s="4" t="s">
        <v>110</v>
      </c>
      <c r="C177" s="4" t="s">
        <v>8</v>
      </c>
      <c r="D177" s="4">
        <v>124.0</v>
      </c>
    </row>
    <row r="178" ht="15.75" customHeight="1">
      <c r="A178" s="3">
        <v>45659.0</v>
      </c>
      <c r="B178" s="4" t="s">
        <v>118</v>
      </c>
      <c r="C178" s="4" t="s">
        <v>52</v>
      </c>
      <c r="D178" s="4">
        <v>17.0</v>
      </c>
    </row>
    <row r="179" ht="15.75" customHeight="1">
      <c r="A179" s="3">
        <v>45746.0</v>
      </c>
      <c r="B179" s="4" t="s">
        <v>64</v>
      </c>
      <c r="C179" s="4" t="s">
        <v>41</v>
      </c>
      <c r="D179" s="4">
        <v>125.0</v>
      </c>
    </row>
    <row r="180" ht="15.75" customHeight="1">
      <c r="A180" s="3">
        <v>45729.0</v>
      </c>
      <c r="B180" s="4" t="s">
        <v>103</v>
      </c>
      <c r="C180" s="4" t="s">
        <v>26</v>
      </c>
      <c r="D180" s="4">
        <v>138.0</v>
      </c>
    </row>
    <row r="181" ht="15.75" customHeight="1">
      <c r="A181" s="3">
        <v>45691.0</v>
      </c>
      <c r="B181" s="4" t="s">
        <v>43</v>
      </c>
      <c r="C181" s="4" t="s">
        <v>16</v>
      </c>
      <c r="D181" s="4">
        <v>41.0</v>
      </c>
    </row>
    <row r="182" ht="15.75" customHeight="1">
      <c r="A182" s="3">
        <v>45740.0</v>
      </c>
      <c r="B182" s="4" t="s">
        <v>36</v>
      </c>
      <c r="C182" s="4" t="s">
        <v>22</v>
      </c>
      <c r="D182" s="4">
        <v>59.0</v>
      </c>
    </row>
    <row r="183" ht="15.75" customHeight="1">
      <c r="A183" s="3">
        <v>45737.0</v>
      </c>
      <c r="B183" s="4" t="s">
        <v>77</v>
      </c>
      <c r="C183" s="4" t="s">
        <v>50</v>
      </c>
      <c r="D183" s="4">
        <v>101.0</v>
      </c>
    </row>
    <row r="184" ht="15.75" customHeight="1">
      <c r="A184" s="3">
        <v>45710.0</v>
      </c>
      <c r="B184" s="4" t="s">
        <v>108</v>
      </c>
      <c r="C184" s="4" t="s">
        <v>109</v>
      </c>
      <c r="D184" s="4">
        <v>6.0</v>
      </c>
    </row>
    <row r="185" ht="15.75" customHeight="1">
      <c r="A185" s="3">
        <v>45719.0</v>
      </c>
      <c r="B185" s="4" t="s">
        <v>90</v>
      </c>
      <c r="C185" s="4" t="s">
        <v>39</v>
      </c>
      <c r="D185" s="4">
        <v>18.0</v>
      </c>
    </row>
    <row r="186" ht="15.75" customHeight="1">
      <c r="A186" s="3">
        <v>45679.0</v>
      </c>
      <c r="B186" s="4" t="s">
        <v>43</v>
      </c>
      <c r="C186" s="4" t="s">
        <v>16</v>
      </c>
      <c r="D186" s="4">
        <v>130.0</v>
      </c>
    </row>
    <row r="187" ht="15.75" customHeight="1">
      <c r="A187" s="3">
        <v>45712.0</v>
      </c>
      <c r="B187" s="4" t="s">
        <v>77</v>
      </c>
      <c r="C187" s="4" t="s">
        <v>50</v>
      </c>
      <c r="D187" s="4">
        <v>61.0</v>
      </c>
    </row>
    <row r="188" ht="15.75" customHeight="1">
      <c r="A188" s="3">
        <v>45695.0</v>
      </c>
      <c r="B188" s="4" t="s">
        <v>63</v>
      </c>
      <c r="C188" s="4" t="s">
        <v>26</v>
      </c>
      <c r="D188" s="4">
        <v>108.0</v>
      </c>
    </row>
    <row r="189" ht="15.75" customHeight="1">
      <c r="A189" s="3">
        <v>45666.0</v>
      </c>
      <c r="B189" s="4" t="s">
        <v>105</v>
      </c>
      <c r="C189" s="4" t="s">
        <v>79</v>
      </c>
      <c r="D189" s="4">
        <v>142.0</v>
      </c>
    </row>
    <row r="190" ht="15.75" customHeight="1">
      <c r="A190" s="3">
        <v>45661.0</v>
      </c>
      <c r="B190" s="4" t="s">
        <v>21</v>
      </c>
      <c r="C190" s="4" t="s">
        <v>22</v>
      </c>
      <c r="D190" s="4">
        <v>116.0</v>
      </c>
    </row>
    <row r="191" ht="15.75" customHeight="1">
      <c r="A191" s="3">
        <v>45673.0</v>
      </c>
      <c r="B191" s="4" t="s">
        <v>38</v>
      </c>
      <c r="C191" s="4" t="s">
        <v>39</v>
      </c>
      <c r="D191" s="4">
        <v>148.0</v>
      </c>
    </row>
    <row r="192" ht="15.75" customHeight="1">
      <c r="A192" s="3">
        <v>45658.0</v>
      </c>
      <c r="B192" s="4" t="s">
        <v>44</v>
      </c>
      <c r="C192" s="4" t="s">
        <v>20</v>
      </c>
      <c r="D192" s="4">
        <v>82.0</v>
      </c>
    </row>
    <row r="193" ht="15.75" customHeight="1">
      <c r="A193" s="3">
        <v>45743.0</v>
      </c>
      <c r="B193" s="4" t="s">
        <v>114</v>
      </c>
      <c r="C193" s="4" t="s">
        <v>75</v>
      </c>
      <c r="D193" s="4">
        <v>118.0</v>
      </c>
    </row>
    <row r="194" ht="15.75" customHeight="1">
      <c r="A194" s="3">
        <v>45668.0</v>
      </c>
      <c r="B194" s="4" t="s">
        <v>97</v>
      </c>
      <c r="C194" s="4" t="s">
        <v>52</v>
      </c>
      <c r="D194" s="4">
        <v>122.0</v>
      </c>
    </row>
    <row r="195" ht="15.75" customHeight="1">
      <c r="A195" s="3">
        <v>45713.0</v>
      </c>
      <c r="B195" s="4" t="s">
        <v>119</v>
      </c>
      <c r="C195" s="4" t="s">
        <v>16</v>
      </c>
      <c r="D195" s="4">
        <v>112.0</v>
      </c>
    </row>
    <row r="196" ht="15.75" customHeight="1">
      <c r="A196" s="3">
        <v>45667.0</v>
      </c>
      <c r="B196" s="4" t="s">
        <v>87</v>
      </c>
      <c r="C196" s="4" t="s">
        <v>39</v>
      </c>
      <c r="D196" s="4">
        <v>64.0</v>
      </c>
    </row>
    <row r="197" ht="15.75" customHeight="1">
      <c r="A197" s="3">
        <v>45738.0</v>
      </c>
      <c r="B197" s="4" t="s">
        <v>35</v>
      </c>
      <c r="C197" s="4" t="s">
        <v>8</v>
      </c>
      <c r="D197" s="4">
        <v>150.0</v>
      </c>
    </row>
    <row r="198" ht="15.75" customHeight="1">
      <c r="A198" s="3">
        <v>45683.0</v>
      </c>
      <c r="B198" s="4" t="s">
        <v>63</v>
      </c>
      <c r="C198" s="4" t="s">
        <v>26</v>
      </c>
      <c r="D198" s="4">
        <v>55.0</v>
      </c>
    </row>
    <row r="199" ht="15.75" customHeight="1">
      <c r="A199" s="3">
        <v>45742.0</v>
      </c>
      <c r="B199" s="4" t="s">
        <v>23</v>
      </c>
      <c r="C199" s="4" t="s">
        <v>24</v>
      </c>
      <c r="D199" s="4">
        <v>74.0</v>
      </c>
    </row>
    <row r="200" ht="15.75" customHeight="1">
      <c r="A200" s="3">
        <v>45736.0</v>
      </c>
      <c r="B200" s="4" t="s">
        <v>32</v>
      </c>
      <c r="C200" s="4" t="s">
        <v>22</v>
      </c>
      <c r="D200" s="4">
        <v>95.0</v>
      </c>
    </row>
    <row r="201" ht="15.75" customHeight="1">
      <c r="A201" s="3">
        <v>45702.0</v>
      </c>
      <c r="B201" s="4" t="s">
        <v>45</v>
      </c>
      <c r="C201" s="4" t="s">
        <v>24</v>
      </c>
      <c r="D201" s="4">
        <v>69.0</v>
      </c>
    </row>
    <row r="202" ht="15.75" customHeight="1">
      <c r="A202" s="3">
        <v>45669.0</v>
      </c>
      <c r="B202" s="4" t="s">
        <v>10</v>
      </c>
      <c r="C202" s="4" t="s">
        <v>8</v>
      </c>
      <c r="D202" s="4">
        <v>94.0</v>
      </c>
    </row>
    <row r="203" ht="15.75" customHeight="1">
      <c r="A203" s="3">
        <v>45706.0</v>
      </c>
      <c r="B203" s="4" t="s">
        <v>99</v>
      </c>
      <c r="C203" s="4" t="s">
        <v>16</v>
      </c>
      <c r="D203" s="4">
        <v>74.0</v>
      </c>
    </row>
    <row r="204" ht="15.75" customHeight="1">
      <c r="A204" s="3">
        <v>45705.0</v>
      </c>
      <c r="B204" s="4" t="s">
        <v>120</v>
      </c>
      <c r="C204" s="4" t="s">
        <v>26</v>
      </c>
      <c r="D204" s="4">
        <v>148.0</v>
      </c>
    </row>
    <row r="205" ht="15.75" customHeight="1">
      <c r="A205" s="3">
        <v>45745.0</v>
      </c>
      <c r="B205" s="4" t="s">
        <v>7</v>
      </c>
      <c r="C205" s="4" t="s">
        <v>8</v>
      </c>
      <c r="D205" s="4">
        <v>25.0</v>
      </c>
    </row>
    <row r="206" ht="15.75" customHeight="1">
      <c r="A206" s="3">
        <v>45670.0</v>
      </c>
      <c r="B206" s="4" t="s">
        <v>121</v>
      </c>
      <c r="C206" s="4" t="s">
        <v>50</v>
      </c>
      <c r="D206" s="4">
        <v>45.0</v>
      </c>
    </row>
    <row r="207" ht="15.75" customHeight="1">
      <c r="A207" s="3">
        <v>45715.0</v>
      </c>
      <c r="B207" s="4" t="s">
        <v>73</v>
      </c>
      <c r="C207" s="4" t="s">
        <v>13</v>
      </c>
      <c r="D207" s="4">
        <v>140.0</v>
      </c>
    </row>
    <row r="208" ht="15.75" customHeight="1">
      <c r="A208" s="3">
        <v>45693.0</v>
      </c>
      <c r="B208" s="4" t="s">
        <v>116</v>
      </c>
      <c r="C208" s="4" t="s">
        <v>82</v>
      </c>
      <c r="D208" s="4">
        <v>62.0</v>
      </c>
    </row>
    <row r="209" ht="15.75" customHeight="1">
      <c r="A209" s="3">
        <v>45696.0</v>
      </c>
      <c r="B209" s="4" t="s">
        <v>122</v>
      </c>
      <c r="C209" s="4" t="s">
        <v>26</v>
      </c>
      <c r="D209" s="4">
        <v>70.0</v>
      </c>
    </row>
    <row r="210" ht="15.75" customHeight="1">
      <c r="A210" s="3">
        <v>45712.0</v>
      </c>
      <c r="B210" s="4" t="s">
        <v>102</v>
      </c>
      <c r="C210" s="4" t="s">
        <v>41</v>
      </c>
      <c r="D210" s="4">
        <v>1.0</v>
      </c>
    </row>
    <row r="211" ht="15.75" customHeight="1">
      <c r="A211" s="3">
        <v>45686.0</v>
      </c>
      <c r="B211" s="4" t="s">
        <v>6</v>
      </c>
      <c r="C211" s="4" t="s">
        <v>5</v>
      </c>
      <c r="D211" s="4">
        <v>81.0</v>
      </c>
    </row>
    <row r="212" ht="15.75" customHeight="1">
      <c r="A212" s="3">
        <v>45684.0</v>
      </c>
      <c r="B212" s="4" t="s">
        <v>123</v>
      </c>
      <c r="C212" s="4" t="s">
        <v>79</v>
      </c>
      <c r="D212" s="4">
        <v>98.0</v>
      </c>
    </row>
    <row r="213" ht="15.75" customHeight="1">
      <c r="A213" s="3">
        <v>45683.0</v>
      </c>
      <c r="B213" s="4" t="s">
        <v>110</v>
      </c>
      <c r="C213" s="4" t="s">
        <v>8</v>
      </c>
      <c r="D213" s="4">
        <v>98.0</v>
      </c>
    </row>
    <row r="214" ht="15.75" customHeight="1">
      <c r="A214" s="3">
        <v>45724.0</v>
      </c>
      <c r="B214" s="4" t="s">
        <v>18</v>
      </c>
      <c r="C214" s="4" t="s">
        <v>13</v>
      </c>
      <c r="D214" s="4">
        <v>14.0</v>
      </c>
    </row>
    <row r="215" ht="15.75" customHeight="1">
      <c r="A215" s="3">
        <v>45710.0</v>
      </c>
      <c r="B215" s="4" t="s">
        <v>124</v>
      </c>
      <c r="C215" s="4" t="s">
        <v>26</v>
      </c>
      <c r="D215" s="4">
        <v>16.0</v>
      </c>
    </row>
    <row r="216" ht="15.75" customHeight="1">
      <c r="A216" s="3">
        <v>45728.0</v>
      </c>
      <c r="B216" s="4" t="s">
        <v>88</v>
      </c>
      <c r="C216" s="4" t="s">
        <v>75</v>
      </c>
      <c r="D216" s="4">
        <v>42.0</v>
      </c>
    </row>
    <row r="217" ht="15.75" customHeight="1">
      <c r="A217" s="3">
        <v>45744.0</v>
      </c>
      <c r="B217" s="4" t="s">
        <v>6</v>
      </c>
      <c r="C217" s="4" t="s">
        <v>5</v>
      </c>
      <c r="D217" s="4">
        <v>15.0</v>
      </c>
    </row>
    <row r="218" ht="15.75" customHeight="1">
      <c r="A218" s="3">
        <v>45716.0</v>
      </c>
      <c r="B218" s="4" t="s">
        <v>92</v>
      </c>
      <c r="C218" s="4" t="s">
        <v>82</v>
      </c>
      <c r="D218" s="4">
        <v>88.0</v>
      </c>
    </row>
    <row r="219" ht="15.75" customHeight="1">
      <c r="A219" s="3">
        <v>45730.0</v>
      </c>
      <c r="B219" s="4" t="s">
        <v>55</v>
      </c>
      <c r="C219" s="4" t="s">
        <v>24</v>
      </c>
      <c r="D219" s="4">
        <v>26.0</v>
      </c>
    </row>
    <row r="220" ht="15.75" customHeight="1">
      <c r="A220" s="3">
        <v>45660.0</v>
      </c>
      <c r="B220" s="4" t="s">
        <v>104</v>
      </c>
      <c r="C220" s="4" t="s">
        <v>5</v>
      </c>
      <c r="D220" s="4">
        <v>140.0</v>
      </c>
    </row>
    <row r="221" ht="15.75" customHeight="1">
      <c r="A221" s="3">
        <v>45721.0</v>
      </c>
      <c r="B221" s="4" t="s">
        <v>125</v>
      </c>
      <c r="C221" s="4" t="s">
        <v>20</v>
      </c>
      <c r="D221" s="4">
        <v>74.0</v>
      </c>
    </row>
    <row r="222" ht="15.75" customHeight="1">
      <c r="A222" s="3">
        <v>45687.0</v>
      </c>
      <c r="B222" s="4" t="s">
        <v>115</v>
      </c>
      <c r="C222" s="4" t="s">
        <v>50</v>
      </c>
      <c r="D222" s="4">
        <v>55.0</v>
      </c>
    </row>
    <row r="223" ht="15.75" customHeight="1">
      <c r="A223" s="3">
        <v>45679.0</v>
      </c>
      <c r="B223" s="4" t="s">
        <v>84</v>
      </c>
      <c r="C223" s="4" t="s">
        <v>85</v>
      </c>
      <c r="D223" s="4">
        <v>42.0</v>
      </c>
    </row>
    <row r="224" ht="15.75" customHeight="1">
      <c r="A224" s="3">
        <v>45743.0</v>
      </c>
      <c r="B224" s="4" t="s">
        <v>15</v>
      </c>
      <c r="C224" s="4" t="s">
        <v>16</v>
      </c>
      <c r="D224" s="4">
        <v>33.0</v>
      </c>
    </row>
    <row r="225" ht="15.75" customHeight="1">
      <c r="A225" s="3">
        <v>45678.0</v>
      </c>
      <c r="B225" s="4" t="s">
        <v>35</v>
      </c>
      <c r="C225" s="4" t="s">
        <v>8</v>
      </c>
      <c r="D225" s="4">
        <v>122.0</v>
      </c>
    </row>
    <row r="226" ht="15.75" customHeight="1">
      <c r="A226" s="3">
        <v>45690.0</v>
      </c>
      <c r="B226" s="4" t="s">
        <v>101</v>
      </c>
      <c r="C226" s="4" t="s">
        <v>24</v>
      </c>
      <c r="D226" s="4">
        <v>33.0</v>
      </c>
    </row>
    <row r="227" ht="15.75" customHeight="1">
      <c r="A227" s="3">
        <v>45720.0</v>
      </c>
      <c r="B227" s="4" t="s">
        <v>71</v>
      </c>
      <c r="C227" s="4" t="s">
        <v>20</v>
      </c>
      <c r="D227" s="4">
        <v>139.0</v>
      </c>
    </row>
    <row r="228" ht="15.75" customHeight="1">
      <c r="A228" s="3">
        <v>45698.0</v>
      </c>
      <c r="B228" s="4" t="s">
        <v>126</v>
      </c>
      <c r="C228" s="4" t="s">
        <v>26</v>
      </c>
      <c r="D228" s="4">
        <v>26.0</v>
      </c>
    </row>
    <row r="229" ht="15.75" customHeight="1">
      <c r="A229" s="3">
        <v>45703.0</v>
      </c>
      <c r="B229" s="4" t="s">
        <v>127</v>
      </c>
      <c r="C229" s="4" t="s">
        <v>22</v>
      </c>
      <c r="D229" s="4">
        <v>68.0</v>
      </c>
    </row>
    <row r="230" ht="15.75" customHeight="1">
      <c r="A230" s="3">
        <v>45744.0</v>
      </c>
      <c r="B230" s="4" t="s">
        <v>55</v>
      </c>
      <c r="C230" s="4" t="s">
        <v>24</v>
      </c>
      <c r="D230" s="4">
        <v>118.0</v>
      </c>
    </row>
    <row r="231" ht="15.75" customHeight="1">
      <c r="A231" s="3">
        <v>45685.0</v>
      </c>
      <c r="B231" s="4" t="s">
        <v>128</v>
      </c>
      <c r="C231" s="4" t="s">
        <v>82</v>
      </c>
      <c r="D231" s="4">
        <v>55.0</v>
      </c>
    </row>
    <row r="232" ht="15.75" customHeight="1">
      <c r="A232" s="3">
        <v>45701.0</v>
      </c>
      <c r="B232" s="4" t="s">
        <v>91</v>
      </c>
      <c r="C232" s="4" t="s">
        <v>26</v>
      </c>
      <c r="D232" s="4">
        <v>27.0</v>
      </c>
    </row>
    <row r="233" ht="15.75" customHeight="1">
      <c r="A233" s="3">
        <v>45742.0</v>
      </c>
      <c r="B233" s="4" t="s">
        <v>66</v>
      </c>
      <c r="C233" s="4" t="s">
        <v>52</v>
      </c>
      <c r="D233" s="4">
        <v>141.0</v>
      </c>
    </row>
    <row r="234" ht="15.75" customHeight="1">
      <c r="A234" s="3">
        <v>45721.0</v>
      </c>
      <c r="B234" s="4" t="s">
        <v>17</v>
      </c>
      <c r="C234" s="4" t="s">
        <v>16</v>
      </c>
      <c r="D234" s="4">
        <v>20.0</v>
      </c>
    </row>
    <row r="235" ht="15.75" customHeight="1">
      <c r="A235" s="3">
        <v>45732.0</v>
      </c>
      <c r="B235" s="4" t="s">
        <v>112</v>
      </c>
      <c r="C235" s="4" t="s">
        <v>31</v>
      </c>
      <c r="D235" s="4">
        <v>97.0</v>
      </c>
    </row>
    <row r="236" ht="15.75" customHeight="1">
      <c r="A236" s="3">
        <v>45720.0</v>
      </c>
      <c r="B236" s="4" t="s">
        <v>6</v>
      </c>
      <c r="C236" s="4" t="s">
        <v>5</v>
      </c>
      <c r="D236" s="4">
        <v>17.0</v>
      </c>
    </row>
    <row r="237" ht="15.75" customHeight="1">
      <c r="A237" s="3">
        <v>45675.0</v>
      </c>
      <c r="B237" s="4" t="s">
        <v>129</v>
      </c>
      <c r="C237" s="4" t="s">
        <v>41</v>
      </c>
      <c r="D237" s="4">
        <v>124.0</v>
      </c>
    </row>
    <row r="238" ht="15.75" customHeight="1">
      <c r="A238" s="3">
        <v>45734.0</v>
      </c>
      <c r="B238" s="4" t="s">
        <v>11</v>
      </c>
      <c r="C238" s="4" t="s">
        <v>5</v>
      </c>
      <c r="D238" s="4">
        <v>51.0</v>
      </c>
    </row>
    <row r="239" ht="15.75" customHeight="1">
      <c r="A239" s="3">
        <v>45691.0</v>
      </c>
      <c r="B239" s="4" t="s">
        <v>113</v>
      </c>
      <c r="C239" s="4" t="s">
        <v>85</v>
      </c>
      <c r="D239" s="4">
        <v>45.0</v>
      </c>
    </row>
    <row r="240" ht="15.75" customHeight="1">
      <c r="A240" s="3">
        <v>45662.0</v>
      </c>
      <c r="B240" s="4" t="s">
        <v>115</v>
      </c>
      <c r="C240" s="4" t="s">
        <v>50</v>
      </c>
      <c r="D240" s="4">
        <v>24.0</v>
      </c>
    </row>
    <row r="241" ht="15.75" customHeight="1">
      <c r="A241" s="3">
        <v>45707.0</v>
      </c>
      <c r="B241" s="4" t="s">
        <v>125</v>
      </c>
      <c r="C241" s="4" t="s">
        <v>20</v>
      </c>
      <c r="D241" s="4">
        <v>97.0</v>
      </c>
    </row>
    <row r="242" ht="15.75" customHeight="1">
      <c r="A242" s="3">
        <v>45702.0</v>
      </c>
      <c r="B242" s="4" t="s">
        <v>86</v>
      </c>
      <c r="C242" s="4" t="s">
        <v>26</v>
      </c>
      <c r="D242" s="4">
        <v>19.0</v>
      </c>
    </row>
    <row r="243" ht="15.75" customHeight="1">
      <c r="A243" s="3">
        <v>45679.0</v>
      </c>
      <c r="B243" s="4" t="s">
        <v>87</v>
      </c>
      <c r="C243" s="4" t="s">
        <v>39</v>
      </c>
      <c r="D243" s="4">
        <v>10.0</v>
      </c>
    </row>
    <row r="244" ht="15.75" customHeight="1">
      <c r="A244" s="3">
        <v>45743.0</v>
      </c>
      <c r="B244" s="4" t="s">
        <v>83</v>
      </c>
      <c r="C244" s="4" t="s">
        <v>5</v>
      </c>
      <c r="D244" s="4">
        <v>88.0</v>
      </c>
    </row>
    <row r="245" ht="15.75" customHeight="1">
      <c r="A245" s="3">
        <v>45674.0</v>
      </c>
      <c r="B245" s="4" t="s">
        <v>49</v>
      </c>
      <c r="C245" s="4" t="s">
        <v>50</v>
      </c>
      <c r="D245" s="4">
        <v>6.0</v>
      </c>
    </row>
    <row r="246" ht="15.75" customHeight="1">
      <c r="A246" s="3">
        <v>45739.0</v>
      </c>
      <c r="B246" s="4" t="s">
        <v>60</v>
      </c>
      <c r="C246" s="4" t="s">
        <v>24</v>
      </c>
      <c r="D246" s="4">
        <v>146.0</v>
      </c>
    </row>
    <row r="247" ht="15.75" customHeight="1">
      <c r="A247" s="3">
        <v>45662.0</v>
      </c>
      <c r="B247" s="4" t="s">
        <v>45</v>
      </c>
      <c r="C247" s="4" t="s">
        <v>24</v>
      </c>
      <c r="D247" s="4">
        <v>116.0</v>
      </c>
    </row>
    <row r="248" ht="15.75" customHeight="1">
      <c r="A248" s="3">
        <v>45731.0</v>
      </c>
      <c r="B248" s="4" t="s">
        <v>130</v>
      </c>
      <c r="C248" s="4" t="s">
        <v>52</v>
      </c>
      <c r="D248" s="4">
        <v>17.0</v>
      </c>
    </row>
    <row r="249" ht="15.75" customHeight="1">
      <c r="A249" s="3">
        <v>45721.0</v>
      </c>
      <c r="B249" s="4" t="s">
        <v>98</v>
      </c>
      <c r="C249" s="4" t="s">
        <v>22</v>
      </c>
      <c r="D249" s="4">
        <v>16.0</v>
      </c>
    </row>
    <row r="250" ht="15.75" customHeight="1">
      <c r="A250" s="3">
        <v>45675.0</v>
      </c>
      <c r="B250" s="4" t="s">
        <v>84</v>
      </c>
      <c r="C250" s="4" t="s">
        <v>85</v>
      </c>
      <c r="D250" s="4">
        <v>48.0</v>
      </c>
    </row>
    <row r="251" ht="15.75" customHeight="1">
      <c r="A251" s="3">
        <v>45718.0</v>
      </c>
      <c r="B251" s="4" t="s">
        <v>103</v>
      </c>
      <c r="C251" s="4" t="s">
        <v>26</v>
      </c>
      <c r="D251" s="4">
        <v>91.0</v>
      </c>
    </row>
    <row r="252" ht="15.75" customHeight="1">
      <c r="A252" s="3">
        <v>45662.0</v>
      </c>
      <c r="B252" s="4" t="s">
        <v>93</v>
      </c>
      <c r="C252" s="4" t="s">
        <v>82</v>
      </c>
      <c r="D252" s="4">
        <v>137.0</v>
      </c>
    </row>
    <row r="253" ht="15.75" customHeight="1">
      <c r="A253" s="3">
        <v>45724.0</v>
      </c>
      <c r="B253" s="4" t="s">
        <v>71</v>
      </c>
      <c r="C253" s="4" t="s">
        <v>20</v>
      </c>
      <c r="D253" s="4">
        <v>140.0</v>
      </c>
    </row>
    <row r="254" ht="15.75" customHeight="1">
      <c r="A254" s="3">
        <v>45687.0</v>
      </c>
      <c r="B254" s="4" t="s">
        <v>69</v>
      </c>
      <c r="C254" s="4" t="s">
        <v>24</v>
      </c>
      <c r="D254" s="4">
        <v>41.0</v>
      </c>
    </row>
    <row r="255" ht="15.75" customHeight="1">
      <c r="A255" s="3">
        <v>45727.0</v>
      </c>
      <c r="B255" s="4" t="s">
        <v>51</v>
      </c>
      <c r="C255" s="4" t="s">
        <v>52</v>
      </c>
      <c r="D255" s="4">
        <v>94.0</v>
      </c>
    </row>
    <row r="256" ht="15.75" customHeight="1">
      <c r="A256" s="3">
        <v>45732.0</v>
      </c>
      <c r="B256" s="4" t="s">
        <v>108</v>
      </c>
      <c r="C256" s="4" t="s">
        <v>109</v>
      </c>
      <c r="D256" s="4">
        <v>66.0</v>
      </c>
    </row>
    <row r="257" ht="15.75" customHeight="1">
      <c r="A257" s="3">
        <v>45720.0</v>
      </c>
      <c r="B257" s="4" t="s">
        <v>88</v>
      </c>
      <c r="C257" s="4" t="s">
        <v>75</v>
      </c>
      <c r="D257" s="4">
        <v>118.0</v>
      </c>
    </row>
    <row r="258" ht="15.75" customHeight="1">
      <c r="A258" s="3">
        <v>45736.0</v>
      </c>
      <c r="B258" s="4" t="s">
        <v>44</v>
      </c>
      <c r="C258" s="4" t="s">
        <v>20</v>
      </c>
      <c r="D258" s="4">
        <v>140.0</v>
      </c>
    </row>
    <row r="259" ht="15.75" customHeight="1">
      <c r="A259" s="3">
        <v>45717.0</v>
      </c>
      <c r="B259" s="4" t="s">
        <v>34</v>
      </c>
      <c r="C259" s="4" t="s">
        <v>28</v>
      </c>
      <c r="D259" s="4">
        <v>70.0</v>
      </c>
    </row>
    <row r="260" ht="15.75" customHeight="1">
      <c r="A260" s="3">
        <v>45728.0</v>
      </c>
      <c r="B260" s="4" t="s">
        <v>123</v>
      </c>
      <c r="C260" s="4" t="s">
        <v>79</v>
      </c>
      <c r="D260" s="4">
        <v>10.0</v>
      </c>
    </row>
    <row r="261" ht="15.75" customHeight="1">
      <c r="A261" s="3">
        <v>45702.0</v>
      </c>
      <c r="B261" s="4" t="s">
        <v>27</v>
      </c>
      <c r="C261" s="4" t="s">
        <v>28</v>
      </c>
      <c r="D261" s="4">
        <v>40.0</v>
      </c>
    </row>
    <row r="262" ht="15.75" customHeight="1">
      <c r="A262" s="3">
        <v>45724.0</v>
      </c>
      <c r="B262" s="4" t="s">
        <v>51</v>
      </c>
      <c r="C262" s="4" t="s">
        <v>52</v>
      </c>
      <c r="D262" s="4">
        <v>4.0</v>
      </c>
    </row>
    <row r="263" ht="15.75" customHeight="1">
      <c r="A263" s="3">
        <v>45674.0</v>
      </c>
      <c r="B263" s="4" t="s">
        <v>121</v>
      </c>
      <c r="C263" s="4" t="s">
        <v>50</v>
      </c>
      <c r="D263" s="4">
        <v>64.0</v>
      </c>
    </row>
    <row r="264" ht="15.75" customHeight="1">
      <c r="A264" s="3">
        <v>45674.0</v>
      </c>
      <c r="B264" s="4" t="s">
        <v>116</v>
      </c>
      <c r="C264" s="4" t="s">
        <v>82</v>
      </c>
      <c r="D264" s="4">
        <v>114.0</v>
      </c>
    </row>
    <row r="265" ht="15.75" customHeight="1">
      <c r="A265" s="3">
        <v>45674.0</v>
      </c>
      <c r="B265" s="4" t="s">
        <v>91</v>
      </c>
      <c r="C265" s="4" t="s">
        <v>26</v>
      </c>
      <c r="D265" s="4">
        <v>22.0</v>
      </c>
    </row>
    <row r="266" ht="15.75" customHeight="1">
      <c r="A266" s="3">
        <v>45673.0</v>
      </c>
      <c r="B266" s="4" t="s">
        <v>106</v>
      </c>
      <c r="C266" s="4" t="s">
        <v>50</v>
      </c>
      <c r="D266" s="4">
        <v>144.0</v>
      </c>
    </row>
    <row r="267" ht="15.75" customHeight="1">
      <c r="A267" s="3">
        <v>45714.0</v>
      </c>
      <c r="B267" s="4" t="s">
        <v>122</v>
      </c>
      <c r="C267" s="4" t="s">
        <v>26</v>
      </c>
      <c r="D267" s="4">
        <v>68.0</v>
      </c>
    </row>
    <row r="268" ht="15.75" customHeight="1">
      <c r="A268" s="3">
        <v>45663.0</v>
      </c>
      <c r="B268" s="4" t="s">
        <v>120</v>
      </c>
      <c r="C268" s="4" t="s">
        <v>26</v>
      </c>
      <c r="D268" s="4">
        <v>84.0</v>
      </c>
    </row>
    <row r="269" ht="15.75" customHeight="1">
      <c r="A269" s="3">
        <v>45667.0</v>
      </c>
      <c r="B269" s="4" t="s">
        <v>64</v>
      </c>
      <c r="C269" s="4" t="s">
        <v>41</v>
      </c>
      <c r="D269" s="4">
        <v>73.0</v>
      </c>
    </row>
    <row r="270" ht="15.75" customHeight="1">
      <c r="A270" s="3">
        <v>45721.0</v>
      </c>
      <c r="B270" s="4" t="s">
        <v>105</v>
      </c>
      <c r="C270" s="4" t="s">
        <v>79</v>
      </c>
      <c r="D270" s="4">
        <v>56.0</v>
      </c>
    </row>
    <row r="271" ht="15.75" customHeight="1">
      <c r="A271" s="3">
        <v>45658.0</v>
      </c>
      <c r="B271" s="4" t="s">
        <v>65</v>
      </c>
      <c r="C271" s="4" t="s">
        <v>5</v>
      </c>
      <c r="D271" s="4">
        <v>115.0</v>
      </c>
    </row>
    <row r="272" ht="15.75" customHeight="1">
      <c r="A272" s="3">
        <v>45672.0</v>
      </c>
      <c r="B272" s="4" t="s">
        <v>126</v>
      </c>
      <c r="C272" s="4" t="s">
        <v>26</v>
      </c>
      <c r="D272" s="4">
        <v>140.0</v>
      </c>
    </row>
    <row r="273" ht="15.75" customHeight="1">
      <c r="A273" s="3">
        <v>45739.0</v>
      </c>
      <c r="B273" s="4" t="s">
        <v>115</v>
      </c>
      <c r="C273" s="4" t="s">
        <v>50</v>
      </c>
      <c r="D273" s="4">
        <v>102.0</v>
      </c>
    </row>
    <row r="274" ht="15.75" customHeight="1">
      <c r="A274" s="3">
        <v>45710.0</v>
      </c>
      <c r="B274" s="4" t="s">
        <v>131</v>
      </c>
      <c r="C274" s="4" t="s">
        <v>26</v>
      </c>
      <c r="D274" s="4">
        <v>14.0</v>
      </c>
    </row>
    <row r="275" ht="15.75" customHeight="1">
      <c r="A275" s="3">
        <v>45728.0</v>
      </c>
      <c r="B275" s="4" t="s">
        <v>66</v>
      </c>
      <c r="C275" s="4" t="s">
        <v>52</v>
      </c>
      <c r="D275" s="4">
        <v>44.0</v>
      </c>
    </row>
    <row r="276" ht="15.75" customHeight="1">
      <c r="A276" s="3">
        <v>45667.0</v>
      </c>
      <c r="B276" s="4" t="s">
        <v>116</v>
      </c>
      <c r="C276" s="4" t="s">
        <v>82</v>
      </c>
      <c r="D276" s="4">
        <v>103.0</v>
      </c>
    </row>
    <row r="277" ht="15.75" customHeight="1">
      <c r="A277" s="3">
        <v>45698.0</v>
      </c>
      <c r="B277" s="4" t="s">
        <v>128</v>
      </c>
      <c r="C277" s="4" t="s">
        <v>82</v>
      </c>
      <c r="D277" s="4">
        <v>130.0</v>
      </c>
    </row>
    <row r="278" ht="15.75" customHeight="1">
      <c r="A278" s="3">
        <v>45695.0</v>
      </c>
      <c r="B278" s="4" t="s">
        <v>96</v>
      </c>
      <c r="C278" s="4" t="s">
        <v>50</v>
      </c>
      <c r="D278" s="4">
        <v>115.0</v>
      </c>
    </row>
    <row r="279" ht="15.75" customHeight="1">
      <c r="A279" s="3">
        <v>45669.0</v>
      </c>
      <c r="B279" s="4" t="s">
        <v>46</v>
      </c>
      <c r="C279" s="4" t="s">
        <v>20</v>
      </c>
      <c r="D279" s="4">
        <v>61.0</v>
      </c>
    </row>
    <row r="280" ht="15.75" customHeight="1">
      <c r="A280" s="3">
        <v>45682.0</v>
      </c>
      <c r="B280" s="4" t="s">
        <v>132</v>
      </c>
      <c r="C280" s="4" t="s">
        <v>26</v>
      </c>
      <c r="D280" s="4">
        <v>44.0</v>
      </c>
    </row>
    <row r="281" ht="15.75" customHeight="1">
      <c r="A281" s="3">
        <v>45709.0</v>
      </c>
      <c r="B281" s="4" t="s">
        <v>102</v>
      </c>
      <c r="C281" s="4" t="s">
        <v>41</v>
      </c>
      <c r="D281" s="4">
        <v>20.0</v>
      </c>
    </row>
    <row r="282" ht="15.75" customHeight="1">
      <c r="A282" s="3">
        <v>45664.0</v>
      </c>
      <c r="B282" s="4" t="s">
        <v>58</v>
      </c>
      <c r="C282" s="4" t="s">
        <v>24</v>
      </c>
      <c r="D282" s="4">
        <v>147.0</v>
      </c>
    </row>
    <row r="283" ht="15.75" customHeight="1">
      <c r="A283" s="3">
        <v>45675.0</v>
      </c>
      <c r="B283" s="4" t="s">
        <v>132</v>
      </c>
      <c r="C283" s="4" t="s">
        <v>26</v>
      </c>
      <c r="D283" s="4">
        <v>63.0</v>
      </c>
    </row>
    <row r="284" ht="15.75" customHeight="1">
      <c r="A284" s="3">
        <v>45740.0</v>
      </c>
      <c r="B284" s="4" t="s">
        <v>23</v>
      </c>
      <c r="C284" s="4" t="s">
        <v>24</v>
      </c>
      <c r="D284" s="4">
        <v>31.0</v>
      </c>
    </row>
    <row r="285" ht="15.75" customHeight="1">
      <c r="A285" s="3">
        <v>45682.0</v>
      </c>
      <c r="B285" s="4" t="s">
        <v>116</v>
      </c>
      <c r="C285" s="4" t="s">
        <v>82</v>
      </c>
      <c r="D285" s="4">
        <v>78.0</v>
      </c>
    </row>
    <row r="286" ht="15.75" customHeight="1">
      <c r="A286" s="3">
        <v>45668.0</v>
      </c>
      <c r="B286" s="4" t="s">
        <v>23</v>
      </c>
      <c r="C286" s="4" t="s">
        <v>24</v>
      </c>
      <c r="D286" s="4">
        <v>9.0</v>
      </c>
    </row>
    <row r="287" ht="15.75" customHeight="1">
      <c r="A287" s="3">
        <v>45671.0</v>
      </c>
      <c r="B287" s="4" t="s">
        <v>133</v>
      </c>
      <c r="C287" s="4" t="s">
        <v>24</v>
      </c>
      <c r="D287" s="4">
        <v>11.0</v>
      </c>
    </row>
    <row r="288" ht="15.75" customHeight="1">
      <c r="A288" s="3">
        <v>45736.0</v>
      </c>
      <c r="B288" s="4" t="s">
        <v>69</v>
      </c>
      <c r="C288" s="4" t="s">
        <v>24</v>
      </c>
      <c r="D288" s="4">
        <v>103.0</v>
      </c>
    </row>
    <row r="289" ht="15.75" customHeight="1">
      <c r="A289" s="3">
        <v>45711.0</v>
      </c>
      <c r="B289" s="4" t="s">
        <v>10</v>
      </c>
      <c r="C289" s="4" t="s">
        <v>8</v>
      </c>
      <c r="D289" s="4">
        <v>45.0</v>
      </c>
    </row>
    <row r="290" ht="15.75" customHeight="1">
      <c r="A290" s="3">
        <v>45732.0</v>
      </c>
      <c r="B290" s="4" t="s">
        <v>101</v>
      </c>
      <c r="C290" s="4" t="s">
        <v>24</v>
      </c>
      <c r="D290" s="4">
        <v>38.0</v>
      </c>
    </row>
    <row r="291" ht="15.75" customHeight="1">
      <c r="A291" s="3">
        <v>45745.0</v>
      </c>
      <c r="B291" s="4" t="s">
        <v>18</v>
      </c>
      <c r="C291" s="4" t="s">
        <v>13</v>
      </c>
      <c r="D291" s="4">
        <v>73.0</v>
      </c>
    </row>
    <row r="292" ht="15.75" customHeight="1">
      <c r="A292" s="3">
        <v>45674.0</v>
      </c>
      <c r="B292" s="4" t="s">
        <v>33</v>
      </c>
      <c r="C292" s="4" t="s">
        <v>28</v>
      </c>
      <c r="D292" s="4">
        <v>140.0</v>
      </c>
    </row>
    <row r="293" ht="15.75" customHeight="1">
      <c r="A293" s="3">
        <v>45672.0</v>
      </c>
      <c r="B293" s="4" t="s">
        <v>87</v>
      </c>
      <c r="C293" s="4" t="s">
        <v>39</v>
      </c>
      <c r="D293" s="4">
        <v>45.0</v>
      </c>
    </row>
    <row r="294" ht="15.75" customHeight="1">
      <c r="A294" s="3">
        <v>45702.0</v>
      </c>
      <c r="B294" s="4" t="s">
        <v>71</v>
      </c>
      <c r="C294" s="4" t="s">
        <v>20</v>
      </c>
      <c r="D294" s="4">
        <v>126.0</v>
      </c>
    </row>
    <row r="295" ht="15.75" customHeight="1">
      <c r="A295" s="3">
        <v>45684.0</v>
      </c>
      <c r="B295" s="4" t="s">
        <v>64</v>
      </c>
      <c r="C295" s="4" t="s">
        <v>41</v>
      </c>
      <c r="D295" s="4">
        <v>31.0</v>
      </c>
    </row>
    <row r="296" ht="15.75" customHeight="1">
      <c r="A296" s="3">
        <v>45711.0</v>
      </c>
      <c r="B296" s="4" t="s">
        <v>127</v>
      </c>
      <c r="C296" s="4" t="s">
        <v>22</v>
      </c>
      <c r="D296" s="4">
        <v>27.0</v>
      </c>
    </row>
    <row r="297" ht="15.75" customHeight="1">
      <c r="A297" s="3">
        <v>45688.0</v>
      </c>
      <c r="B297" s="4" t="s">
        <v>48</v>
      </c>
      <c r="C297" s="4" t="s">
        <v>22</v>
      </c>
      <c r="D297" s="4">
        <v>104.0</v>
      </c>
    </row>
    <row r="298" ht="15.75" customHeight="1">
      <c r="A298" s="3">
        <v>45742.0</v>
      </c>
      <c r="B298" s="4" t="s">
        <v>69</v>
      </c>
      <c r="C298" s="4" t="s">
        <v>24</v>
      </c>
      <c r="D298" s="4">
        <v>24.0</v>
      </c>
    </row>
    <row r="299" ht="15.75" customHeight="1">
      <c r="A299" s="3">
        <v>45732.0</v>
      </c>
      <c r="B299" s="4" t="s">
        <v>36</v>
      </c>
      <c r="C299" s="4" t="s">
        <v>22</v>
      </c>
      <c r="D299" s="4">
        <v>28.0</v>
      </c>
    </row>
    <row r="300" ht="15.75" customHeight="1">
      <c r="A300" s="3">
        <v>45659.0</v>
      </c>
      <c r="B300" s="4" t="s">
        <v>134</v>
      </c>
      <c r="C300" s="4" t="s">
        <v>85</v>
      </c>
      <c r="D300" s="4">
        <v>18.0</v>
      </c>
    </row>
    <row r="301" ht="15.75" customHeight="1">
      <c r="A301" s="3">
        <v>45723.0</v>
      </c>
      <c r="B301" s="4" t="s">
        <v>126</v>
      </c>
      <c r="C301" s="4" t="s">
        <v>26</v>
      </c>
      <c r="D301" s="4">
        <v>112.0</v>
      </c>
    </row>
    <row r="302" ht="15.75" customHeight="1">
      <c r="A302" s="3">
        <v>45671.0</v>
      </c>
      <c r="B302" s="4" t="s">
        <v>134</v>
      </c>
      <c r="C302" s="4" t="s">
        <v>85</v>
      </c>
      <c r="D302" s="4">
        <v>48.0</v>
      </c>
    </row>
    <row r="303" ht="15.75" customHeight="1">
      <c r="A303" s="3">
        <v>45710.0</v>
      </c>
      <c r="B303" s="4" t="s">
        <v>61</v>
      </c>
      <c r="C303" s="4" t="s">
        <v>62</v>
      </c>
      <c r="D303" s="4">
        <v>132.0</v>
      </c>
    </row>
    <row r="304" ht="15.75" customHeight="1">
      <c r="A304" s="3">
        <v>45689.0</v>
      </c>
      <c r="B304" s="4" t="s">
        <v>63</v>
      </c>
      <c r="C304" s="4" t="s">
        <v>26</v>
      </c>
      <c r="D304" s="4">
        <v>125.0</v>
      </c>
    </row>
    <row r="305" ht="15.75" customHeight="1">
      <c r="A305" s="3">
        <v>45734.0</v>
      </c>
      <c r="B305" s="4" t="s">
        <v>25</v>
      </c>
      <c r="C305" s="4" t="s">
        <v>26</v>
      </c>
      <c r="D305" s="4">
        <v>145.0</v>
      </c>
    </row>
    <row r="306" ht="15.75" customHeight="1">
      <c r="A306" s="3">
        <v>45670.0</v>
      </c>
      <c r="B306" s="4" t="s">
        <v>67</v>
      </c>
      <c r="C306" s="4" t="s">
        <v>39</v>
      </c>
      <c r="D306" s="4">
        <v>74.0</v>
      </c>
    </row>
    <row r="307" ht="15.75" customHeight="1">
      <c r="A307" s="3">
        <v>45724.0</v>
      </c>
      <c r="B307" s="4" t="s">
        <v>35</v>
      </c>
      <c r="C307" s="4" t="s">
        <v>8</v>
      </c>
      <c r="D307" s="4">
        <v>48.0</v>
      </c>
    </row>
    <row r="308" ht="15.75" customHeight="1">
      <c r="A308" s="3">
        <v>45739.0</v>
      </c>
      <c r="B308" s="4" t="s">
        <v>63</v>
      </c>
      <c r="C308" s="4" t="s">
        <v>26</v>
      </c>
      <c r="D308" s="4">
        <v>64.0</v>
      </c>
    </row>
    <row r="309" ht="15.75" customHeight="1">
      <c r="A309" s="3">
        <v>45657.0</v>
      </c>
      <c r="B309" s="4" t="s">
        <v>131</v>
      </c>
      <c r="C309" s="4" t="s">
        <v>26</v>
      </c>
      <c r="D309" s="4">
        <v>15.0</v>
      </c>
    </row>
    <row r="310" ht="15.75" customHeight="1">
      <c r="A310" s="3">
        <v>45746.0</v>
      </c>
      <c r="B310" s="4" t="s">
        <v>135</v>
      </c>
      <c r="C310" s="4" t="s">
        <v>62</v>
      </c>
      <c r="D310" s="4">
        <v>109.0</v>
      </c>
    </row>
    <row r="311" ht="15.75" customHeight="1">
      <c r="A311" s="3">
        <v>45670.0</v>
      </c>
      <c r="B311" s="4" t="s">
        <v>119</v>
      </c>
      <c r="C311" s="4" t="s">
        <v>16</v>
      </c>
      <c r="D311" s="4">
        <v>38.0</v>
      </c>
    </row>
    <row r="312" ht="15.75" customHeight="1">
      <c r="A312" s="3">
        <v>45659.0</v>
      </c>
      <c r="B312" s="4" t="s">
        <v>17</v>
      </c>
      <c r="C312" s="4" t="s">
        <v>16</v>
      </c>
      <c r="D312" s="4">
        <v>143.0</v>
      </c>
    </row>
    <row r="313" ht="15.75" customHeight="1">
      <c r="A313" s="3">
        <v>45705.0</v>
      </c>
      <c r="B313" s="4" t="s">
        <v>94</v>
      </c>
      <c r="C313" s="4" t="s">
        <v>52</v>
      </c>
      <c r="D313" s="4">
        <v>96.0</v>
      </c>
    </row>
    <row r="314" ht="15.75" customHeight="1">
      <c r="A314" s="3">
        <v>45686.0</v>
      </c>
      <c r="B314" s="4" t="s">
        <v>71</v>
      </c>
      <c r="C314" s="4" t="s">
        <v>20</v>
      </c>
      <c r="D314" s="4">
        <v>136.0</v>
      </c>
    </row>
    <row r="315" ht="15.75" customHeight="1">
      <c r="A315" s="3">
        <v>45705.0</v>
      </c>
      <c r="B315" s="4" t="s">
        <v>100</v>
      </c>
      <c r="C315" s="4" t="s">
        <v>79</v>
      </c>
      <c r="D315" s="4">
        <v>74.0</v>
      </c>
    </row>
    <row r="316" ht="15.75" customHeight="1">
      <c r="A316" s="3">
        <v>45742.0</v>
      </c>
      <c r="B316" s="4" t="s">
        <v>30</v>
      </c>
      <c r="C316" s="4" t="s">
        <v>31</v>
      </c>
      <c r="D316" s="4">
        <v>143.0</v>
      </c>
    </row>
    <row r="317" ht="15.75" customHeight="1">
      <c r="A317" s="3">
        <v>45672.0</v>
      </c>
      <c r="B317" s="4" t="s">
        <v>128</v>
      </c>
      <c r="C317" s="4" t="s">
        <v>82</v>
      </c>
      <c r="D317" s="4">
        <v>38.0</v>
      </c>
    </row>
    <row r="318" ht="15.75" customHeight="1">
      <c r="A318" s="3">
        <v>45658.0</v>
      </c>
      <c r="B318" s="4" t="s">
        <v>61</v>
      </c>
      <c r="C318" s="4" t="s">
        <v>62</v>
      </c>
      <c r="D318" s="4">
        <v>117.0</v>
      </c>
    </row>
    <row r="319" ht="15.75" customHeight="1">
      <c r="A319" s="3">
        <v>45703.0</v>
      </c>
      <c r="B319" s="4" t="s">
        <v>136</v>
      </c>
      <c r="C319" s="4" t="s">
        <v>79</v>
      </c>
      <c r="D319" s="4">
        <v>144.0</v>
      </c>
    </row>
    <row r="320" ht="15.75" customHeight="1">
      <c r="A320" s="3">
        <v>45743.0</v>
      </c>
      <c r="B320" s="4" t="s">
        <v>44</v>
      </c>
      <c r="C320" s="4" t="s">
        <v>20</v>
      </c>
      <c r="D320" s="4">
        <v>78.0</v>
      </c>
    </row>
    <row r="321" ht="15.75" customHeight="1">
      <c r="A321" s="3">
        <v>45663.0</v>
      </c>
      <c r="B321" s="4" t="s">
        <v>126</v>
      </c>
      <c r="C321" s="4" t="s">
        <v>26</v>
      </c>
      <c r="D321" s="4">
        <v>124.0</v>
      </c>
    </row>
    <row r="322" ht="15.75" customHeight="1">
      <c r="A322" s="3">
        <v>45735.0</v>
      </c>
      <c r="B322" s="4" t="s">
        <v>35</v>
      </c>
      <c r="C322" s="4" t="s">
        <v>8</v>
      </c>
      <c r="D322" s="4">
        <v>146.0</v>
      </c>
    </row>
    <row r="323" ht="15.75" customHeight="1">
      <c r="A323" s="3">
        <v>45692.0</v>
      </c>
      <c r="B323" s="4" t="s">
        <v>137</v>
      </c>
      <c r="C323" s="4" t="s">
        <v>20</v>
      </c>
      <c r="D323" s="4">
        <v>83.0</v>
      </c>
    </row>
    <row r="324" ht="15.75" customHeight="1">
      <c r="A324" s="3">
        <v>45720.0</v>
      </c>
      <c r="B324" s="4" t="s">
        <v>14</v>
      </c>
      <c r="C324" s="4" t="s">
        <v>8</v>
      </c>
      <c r="D324" s="4">
        <v>69.0</v>
      </c>
    </row>
    <row r="325" ht="15.75" customHeight="1">
      <c r="A325" s="3">
        <v>45658.0</v>
      </c>
      <c r="B325" s="4" t="s">
        <v>89</v>
      </c>
      <c r="C325" s="4" t="s">
        <v>79</v>
      </c>
      <c r="D325" s="4">
        <v>136.0</v>
      </c>
    </row>
    <row r="326" ht="15.75" customHeight="1">
      <c r="A326" s="3">
        <v>45717.0</v>
      </c>
      <c r="B326" s="4" t="s">
        <v>38</v>
      </c>
      <c r="C326" s="4" t="s">
        <v>39</v>
      </c>
      <c r="D326" s="4">
        <v>19.0</v>
      </c>
    </row>
    <row r="327" ht="15.75" customHeight="1">
      <c r="A327" s="3">
        <v>45718.0</v>
      </c>
      <c r="B327" s="4" t="s">
        <v>42</v>
      </c>
      <c r="C327" s="4" t="s">
        <v>24</v>
      </c>
      <c r="D327" s="4">
        <v>97.0</v>
      </c>
    </row>
    <row r="328" ht="15.75" customHeight="1">
      <c r="A328" s="3">
        <v>45738.0</v>
      </c>
      <c r="B328" s="4" t="s">
        <v>103</v>
      </c>
      <c r="C328" s="4" t="s">
        <v>26</v>
      </c>
      <c r="D328" s="4">
        <v>52.0</v>
      </c>
    </row>
    <row r="329" ht="15.75" customHeight="1">
      <c r="A329" s="3">
        <v>45708.0</v>
      </c>
      <c r="B329" s="4" t="s">
        <v>78</v>
      </c>
      <c r="C329" s="4" t="s">
        <v>79</v>
      </c>
      <c r="D329" s="4">
        <v>96.0</v>
      </c>
    </row>
    <row r="330" ht="15.75" customHeight="1">
      <c r="A330" s="3">
        <v>45679.0</v>
      </c>
      <c r="B330" s="4" t="s">
        <v>30</v>
      </c>
      <c r="C330" s="4" t="s">
        <v>31</v>
      </c>
      <c r="D330" s="4">
        <v>18.0</v>
      </c>
    </row>
    <row r="331" ht="15.75" customHeight="1">
      <c r="A331" s="3">
        <v>45678.0</v>
      </c>
      <c r="B331" s="4" t="s">
        <v>105</v>
      </c>
      <c r="C331" s="4" t="s">
        <v>79</v>
      </c>
      <c r="D331" s="4">
        <v>140.0</v>
      </c>
    </row>
    <row r="332" ht="15.75" customHeight="1">
      <c r="A332" s="3">
        <v>45735.0</v>
      </c>
      <c r="B332" s="4" t="s">
        <v>32</v>
      </c>
      <c r="C332" s="4" t="s">
        <v>22</v>
      </c>
      <c r="D332" s="4">
        <v>2.0</v>
      </c>
    </row>
    <row r="333" ht="15.75" customHeight="1">
      <c r="A333" s="3">
        <v>45688.0</v>
      </c>
      <c r="B333" s="4" t="s">
        <v>51</v>
      </c>
      <c r="C333" s="4" t="s">
        <v>52</v>
      </c>
      <c r="D333" s="4">
        <v>137.0</v>
      </c>
    </row>
    <row r="334" ht="15.75" customHeight="1">
      <c r="A334" s="3">
        <v>45664.0</v>
      </c>
      <c r="B334" s="4" t="s">
        <v>46</v>
      </c>
      <c r="C334" s="4" t="s">
        <v>20</v>
      </c>
      <c r="D334" s="4">
        <v>140.0</v>
      </c>
    </row>
    <row r="335" ht="15.75" customHeight="1">
      <c r="A335" s="3">
        <v>45675.0</v>
      </c>
      <c r="B335" s="4" t="s">
        <v>69</v>
      </c>
      <c r="C335" s="4" t="s">
        <v>24</v>
      </c>
      <c r="D335" s="4">
        <v>38.0</v>
      </c>
    </row>
    <row r="336" ht="15.75" customHeight="1">
      <c r="A336" s="3">
        <v>45738.0</v>
      </c>
      <c r="B336" s="4" t="s">
        <v>93</v>
      </c>
      <c r="C336" s="4" t="s">
        <v>82</v>
      </c>
      <c r="D336" s="4">
        <v>143.0</v>
      </c>
    </row>
    <row r="337" ht="15.75" customHeight="1">
      <c r="A337" s="3">
        <v>45733.0</v>
      </c>
      <c r="B337" s="4" t="s">
        <v>138</v>
      </c>
      <c r="C337" s="4" t="s">
        <v>85</v>
      </c>
      <c r="D337" s="4">
        <v>62.0</v>
      </c>
    </row>
    <row r="338" ht="15.75" customHeight="1">
      <c r="A338" s="3">
        <v>45730.0</v>
      </c>
      <c r="B338" s="4" t="s">
        <v>137</v>
      </c>
      <c r="C338" s="4" t="s">
        <v>20</v>
      </c>
      <c r="D338" s="4">
        <v>142.0</v>
      </c>
    </row>
    <row r="339" ht="15.75" customHeight="1">
      <c r="A339" s="3">
        <v>45742.0</v>
      </c>
      <c r="B339" s="4" t="s">
        <v>135</v>
      </c>
      <c r="C339" s="4" t="s">
        <v>62</v>
      </c>
      <c r="D339" s="4">
        <v>72.0</v>
      </c>
    </row>
    <row r="340" ht="15.75" customHeight="1">
      <c r="A340" s="3">
        <v>45697.0</v>
      </c>
      <c r="B340" s="4" t="s">
        <v>44</v>
      </c>
      <c r="C340" s="4" t="s">
        <v>20</v>
      </c>
      <c r="D340" s="4">
        <v>36.0</v>
      </c>
    </row>
    <row r="341" ht="15.75" customHeight="1">
      <c r="A341" s="3">
        <v>45669.0</v>
      </c>
      <c r="B341" s="4" t="s">
        <v>43</v>
      </c>
      <c r="C341" s="4" t="s">
        <v>16</v>
      </c>
      <c r="D341" s="4">
        <v>115.0</v>
      </c>
    </row>
    <row r="342" ht="15.75" customHeight="1">
      <c r="A342" s="3">
        <v>45666.0</v>
      </c>
      <c r="B342" s="4" t="s">
        <v>87</v>
      </c>
      <c r="C342" s="4" t="s">
        <v>39</v>
      </c>
      <c r="D342" s="4">
        <v>111.0</v>
      </c>
    </row>
    <row r="343" ht="15.75" customHeight="1">
      <c r="A343" s="3">
        <v>45663.0</v>
      </c>
      <c r="B343" s="4" t="s">
        <v>81</v>
      </c>
      <c r="C343" s="4" t="s">
        <v>82</v>
      </c>
      <c r="D343" s="4">
        <v>45.0</v>
      </c>
    </row>
    <row r="344" ht="15.75" customHeight="1">
      <c r="A344" s="3">
        <v>45657.0</v>
      </c>
      <c r="B344" s="4" t="s">
        <v>100</v>
      </c>
      <c r="C344" s="4" t="s">
        <v>79</v>
      </c>
      <c r="D344" s="4">
        <v>32.0</v>
      </c>
    </row>
    <row r="345" ht="15.75" customHeight="1">
      <c r="A345" s="3">
        <v>45687.0</v>
      </c>
      <c r="B345" s="4" t="s">
        <v>116</v>
      </c>
      <c r="C345" s="4" t="s">
        <v>82</v>
      </c>
      <c r="D345" s="4">
        <v>140.0</v>
      </c>
    </row>
    <row r="346" ht="15.75" customHeight="1">
      <c r="A346" s="3">
        <v>45669.0</v>
      </c>
      <c r="B346" s="4" t="s">
        <v>67</v>
      </c>
      <c r="C346" s="4" t="s">
        <v>39</v>
      </c>
      <c r="D346" s="4">
        <v>66.0</v>
      </c>
    </row>
    <row r="347" ht="15.75" customHeight="1">
      <c r="A347" s="3">
        <v>45665.0</v>
      </c>
      <c r="B347" s="4" t="s">
        <v>108</v>
      </c>
      <c r="C347" s="4" t="s">
        <v>109</v>
      </c>
      <c r="D347" s="4">
        <v>118.0</v>
      </c>
    </row>
    <row r="348" ht="15.75" customHeight="1">
      <c r="A348" s="3">
        <v>45692.0</v>
      </c>
      <c r="B348" s="4" t="s">
        <v>91</v>
      </c>
      <c r="C348" s="4" t="s">
        <v>26</v>
      </c>
      <c r="D348" s="4">
        <v>87.0</v>
      </c>
    </row>
    <row r="349" ht="15.75" customHeight="1">
      <c r="A349" s="3">
        <v>45737.0</v>
      </c>
      <c r="B349" s="4" t="s">
        <v>80</v>
      </c>
      <c r="C349" s="4" t="s">
        <v>22</v>
      </c>
      <c r="D349" s="4">
        <v>34.0</v>
      </c>
    </row>
    <row r="350" ht="15.75" customHeight="1">
      <c r="A350" s="3">
        <v>45693.0</v>
      </c>
      <c r="B350" s="4" t="s">
        <v>63</v>
      </c>
      <c r="C350" s="4" t="s">
        <v>26</v>
      </c>
      <c r="D350" s="4">
        <v>64.0</v>
      </c>
    </row>
    <row r="351" ht="15.75" customHeight="1">
      <c r="A351" s="3">
        <v>45693.0</v>
      </c>
      <c r="B351" s="4" t="s">
        <v>129</v>
      </c>
      <c r="C351" s="4" t="s">
        <v>41</v>
      </c>
      <c r="D351" s="4">
        <v>30.0</v>
      </c>
    </row>
    <row r="352" ht="15.75" customHeight="1">
      <c r="A352" s="3">
        <v>45715.0</v>
      </c>
      <c r="B352" s="4" t="s">
        <v>136</v>
      </c>
      <c r="C352" s="4" t="s">
        <v>79</v>
      </c>
      <c r="D352" s="4">
        <v>139.0</v>
      </c>
    </row>
    <row r="353" ht="15.75" customHeight="1">
      <c r="A353" s="3">
        <v>45726.0</v>
      </c>
      <c r="B353" s="4" t="s">
        <v>25</v>
      </c>
      <c r="C353" s="4" t="s">
        <v>26</v>
      </c>
      <c r="D353" s="4">
        <v>89.0</v>
      </c>
    </row>
    <row r="354" ht="15.75" customHeight="1">
      <c r="A354" s="3">
        <v>45733.0</v>
      </c>
      <c r="B354" s="4" t="s">
        <v>134</v>
      </c>
      <c r="C354" s="4" t="s">
        <v>85</v>
      </c>
      <c r="D354" s="4">
        <v>84.0</v>
      </c>
    </row>
    <row r="355" ht="15.75" customHeight="1">
      <c r="A355" s="3">
        <v>45728.0</v>
      </c>
      <c r="B355" s="4" t="s">
        <v>11</v>
      </c>
      <c r="C355" s="4" t="s">
        <v>5</v>
      </c>
      <c r="D355" s="4">
        <v>75.0</v>
      </c>
    </row>
    <row r="356" ht="15.75" customHeight="1">
      <c r="A356" s="3">
        <v>45665.0</v>
      </c>
      <c r="B356" s="4" t="s">
        <v>83</v>
      </c>
      <c r="C356" s="4" t="s">
        <v>5</v>
      </c>
      <c r="D356" s="4">
        <v>77.0</v>
      </c>
    </row>
    <row r="357" ht="15.75" customHeight="1">
      <c r="A357" s="3">
        <v>45742.0</v>
      </c>
      <c r="B357" s="4" t="s">
        <v>111</v>
      </c>
      <c r="C357" s="4" t="s">
        <v>109</v>
      </c>
      <c r="D357" s="4">
        <v>79.0</v>
      </c>
    </row>
    <row r="358" ht="15.75" customHeight="1">
      <c r="A358" s="3">
        <v>45727.0</v>
      </c>
      <c r="B358" s="4" t="s">
        <v>139</v>
      </c>
      <c r="C358" s="4" t="s">
        <v>109</v>
      </c>
      <c r="D358" s="4">
        <v>113.0</v>
      </c>
    </row>
    <row r="359" ht="15.75" customHeight="1">
      <c r="A359" s="3">
        <v>45733.0</v>
      </c>
      <c r="B359" s="4" t="s">
        <v>139</v>
      </c>
      <c r="C359" s="4" t="s">
        <v>109</v>
      </c>
      <c r="D359" s="4">
        <v>16.0</v>
      </c>
    </row>
    <row r="360" ht="15.75" customHeight="1">
      <c r="A360" s="3">
        <v>45668.0</v>
      </c>
      <c r="B360" s="4" t="s">
        <v>37</v>
      </c>
      <c r="C360" s="4" t="s">
        <v>8</v>
      </c>
      <c r="D360" s="4">
        <v>121.0</v>
      </c>
    </row>
    <row r="361" ht="15.75" customHeight="1">
      <c r="A361" s="3">
        <v>45691.0</v>
      </c>
      <c r="B361" s="4" t="s">
        <v>124</v>
      </c>
      <c r="C361" s="4" t="s">
        <v>26</v>
      </c>
      <c r="D361" s="4">
        <v>104.0</v>
      </c>
    </row>
    <row r="362" ht="15.75" customHeight="1">
      <c r="A362" s="3">
        <v>45723.0</v>
      </c>
      <c r="B362" s="4" t="s">
        <v>99</v>
      </c>
      <c r="C362" s="4" t="s">
        <v>16</v>
      </c>
      <c r="D362" s="4">
        <v>136.0</v>
      </c>
    </row>
    <row r="363" ht="15.75" customHeight="1">
      <c r="A363" s="3">
        <v>45732.0</v>
      </c>
      <c r="B363" s="4" t="s">
        <v>96</v>
      </c>
      <c r="C363" s="4" t="s">
        <v>50</v>
      </c>
      <c r="D363" s="4">
        <v>80.0</v>
      </c>
    </row>
    <row r="364" ht="15.75" customHeight="1">
      <c r="A364" s="3">
        <v>45726.0</v>
      </c>
      <c r="B364" s="4" t="s">
        <v>63</v>
      </c>
      <c r="C364" s="4" t="s">
        <v>26</v>
      </c>
      <c r="D364" s="4">
        <v>140.0</v>
      </c>
    </row>
    <row r="365" ht="15.75" customHeight="1">
      <c r="A365" s="3">
        <v>45672.0</v>
      </c>
      <c r="B365" s="4" t="s">
        <v>107</v>
      </c>
      <c r="C365" s="4" t="s">
        <v>24</v>
      </c>
      <c r="D365" s="4">
        <v>18.0</v>
      </c>
    </row>
    <row r="366" ht="15.75" customHeight="1">
      <c r="A366" s="3">
        <v>45729.0</v>
      </c>
      <c r="B366" s="4" t="s">
        <v>113</v>
      </c>
      <c r="C366" s="4" t="s">
        <v>85</v>
      </c>
      <c r="D366" s="4">
        <v>148.0</v>
      </c>
    </row>
    <row r="367" ht="15.75" customHeight="1">
      <c r="A367" s="3">
        <v>45680.0</v>
      </c>
      <c r="B367" s="4" t="s">
        <v>118</v>
      </c>
      <c r="C367" s="4" t="s">
        <v>52</v>
      </c>
      <c r="D367" s="4">
        <v>56.0</v>
      </c>
    </row>
    <row r="368" ht="15.75" customHeight="1">
      <c r="A368" s="3">
        <v>45675.0</v>
      </c>
      <c r="B368" s="4" t="s">
        <v>105</v>
      </c>
      <c r="C368" s="4" t="s">
        <v>79</v>
      </c>
      <c r="D368" s="4">
        <v>147.0</v>
      </c>
    </row>
    <row r="369" ht="15.75" customHeight="1">
      <c r="A369" s="3">
        <v>45703.0</v>
      </c>
      <c r="B369" s="4" t="s">
        <v>43</v>
      </c>
      <c r="C369" s="4" t="s">
        <v>16</v>
      </c>
      <c r="D369" s="4">
        <v>27.0</v>
      </c>
    </row>
    <row r="370" ht="15.75" customHeight="1">
      <c r="A370" s="3">
        <v>45661.0</v>
      </c>
      <c r="B370" s="4" t="s">
        <v>73</v>
      </c>
      <c r="C370" s="4" t="s">
        <v>13</v>
      </c>
      <c r="D370" s="4">
        <v>91.0</v>
      </c>
    </row>
    <row r="371" ht="15.75" customHeight="1">
      <c r="A371" s="3">
        <v>45661.0</v>
      </c>
      <c r="B371" s="4" t="s">
        <v>95</v>
      </c>
      <c r="C371" s="4" t="s">
        <v>39</v>
      </c>
      <c r="D371" s="4">
        <v>104.0</v>
      </c>
    </row>
    <row r="372" ht="15.75" customHeight="1">
      <c r="A372" s="3">
        <v>45743.0</v>
      </c>
      <c r="B372" s="4" t="s">
        <v>114</v>
      </c>
      <c r="C372" s="4" t="s">
        <v>75</v>
      </c>
      <c r="D372" s="4">
        <v>69.0</v>
      </c>
    </row>
    <row r="373" ht="15.75" customHeight="1">
      <c r="A373" s="3">
        <v>45691.0</v>
      </c>
      <c r="B373" s="4" t="s">
        <v>61</v>
      </c>
      <c r="C373" s="4" t="s">
        <v>62</v>
      </c>
      <c r="D373" s="4">
        <v>84.0</v>
      </c>
    </row>
    <row r="374" ht="15.75" customHeight="1">
      <c r="A374" s="3">
        <v>45681.0</v>
      </c>
      <c r="B374" s="4" t="s">
        <v>29</v>
      </c>
      <c r="C374" s="4" t="s">
        <v>16</v>
      </c>
      <c r="D374" s="4">
        <v>108.0</v>
      </c>
    </row>
    <row r="375" ht="15.75" customHeight="1">
      <c r="A375" s="3">
        <v>45725.0</v>
      </c>
      <c r="B375" s="4" t="s">
        <v>64</v>
      </c>
      <c r="C375" s="4" t="s">
        <v>41</v>
      </c>
      <c r="D375" s="4">
        <v>44.0</v>
      </c>
    </row>
    <row r="376" ht="15.75" customHeight="1">
      <c r="A376" s="3">
        <v>45699.0</v>
      </c>
      <c r="B376" s="4" t="s">
        <v>11</v>
      </c>
      <c r="C376" s="4" t="s">
        <v>5</v>
      </c>
      <c r="D376" s="4">
        <v>78.0</v>
      </c>
    </row>
    <row r="377" ht="15.75" customHeight="1">
      <c r="A377" s="3">
        <v>45714.0</v>
      </c>
      <c r="B377" s="4" t="s">
        <v>48</v>
      </c>
      <c r="C377" s="4" t="s">
        <v>22</v>
      </c>
      <c r="D377" s="4">
        <v>147.0</v>
      </c>
    </row>
    <row r="378" ht="15.75" customHeight="1">
      <c r="A378" s="3">
        <v>45702.0</v>
      </c>
      <c r="B378" s="4" t="s">
        <v>74</v>
      </c>
      <c r="C378" s="4" t="s">
        <v>75</v>
      </c>
      <c r="D378" s="4">
        <v>135.0</v>
      </c>
    </row>
    <row r="379" ht="15.75" customHeight="1">
      <c r="A379" s="3">
        <v>45685.0</v>
      </c>
      <c r="B379" s="4" t="s">
        <v>19</v>
      </c>
      <c r="C379" s="4" t="s">
        <v>20</v>
      </c>
      <c r="D379" s="4">
        <v>124.0</v>
      </c>
    </row>
    <row r="380" ht="15.75" customHeight="1">
      <c r="A380" s="3">
        <v>45679.0</v>
      </c>
      <c r="B380" s="4" t="s">
        <v>130</v>
      </c>
      <c r="C380" s="4" t="s">
        <v>52</v>
      </c>
      <c r="D380" s="4">
        <v>63.0</v>
      </c>
    </row>
    <row r="381" ht="15.75" customHeight="1">
      <c r="A381" s="3">
        <v>45684.0</v>
      </c>
      <c r="B381" s="4" t="s">
        <v>129</v>
      </c>
      <c r="C381" s="4" t="s">
        <v>41</v>
      </c>
      <c r="D381" s="4">
        <v>68.0</v>
      </c>
    </row>
    <row r="382" ht="15.75" customHeight="1">
      <c r="A382" s="3">
        <v>45672.0</v>
      </c>
      <c r="B382" s="4" t="s">
        <v>113</v>
      </c>
      <c r="C382" s="4" t="s">
        <v>85</v>
      </c>
      <c r="D382" s="4">
        <v>43.0</v>
      </c>
    </row>
    <row r="383" ht="15.75" customHeight="1">
      <c r="A383" s="3">
        <v>45690.0</v>
      </c>
      <c r="B383" s="4" t="s">
        <v>49</v>
      </c>
      <c r="C383" s="4" t="s">
        <v>50</v>
      </c>
      <c r="D383" s="4">
        <v>150.0</v>
      </c>
    </row>
    <row r="384" ht="15.75" customHeight="1">
      <c r="A384" s="3">
        <v>45696.0</v>
      </c>
      <c r="B384" s="4" t="s">
        <v>112</v>
      </c>
      <c r="C384" s="4" t="s">
        <v>31</v>
      </c>
      <c r="D384" s="4">
        <v>22.0</v>
      </c>
    </row>
    <row r="385" ht="15.75" customHeight="1">
      <c r="A385" s="3">
        <v>45669.0</v>
      </c>
      <c r="B385" s="4" t="s">
        <v>9</v>
      </c>
      <c r="C385" s="4" t="s">
        <v>8</v>
      </c>
      <c r="D385" s="4">
        <v>104.0</v>
      </c>
    </row>
    <row r="386" ht="15.75" customHeight="1">
      <c r="A386" s="3">
        <v>45658.0</v>
      </c>
      <c r="B386" s="4" t="s">
        <v>47</v>
      </c>
      <c r="C386" s="4" t="s">
        <v>22</v>
      </c>
      <c r="D386" s="4">
        <v>51.0</v>
      </c>
    </row>
    <row r="387" ht="15.75" customHeight="1">
      <c r="A387" s="3">
        <v>45727.0</v>
      </c>
      <c r="B387" s="4" t="s">
        <v>117</v>
      </c>
      <c r="C387" s="4" t="s">
        <v>28</v>
      </c>
      <c r="D387" s="4">
        <v>138.0</v>
      </c>
    </row>
    <row r="388" ht="15.75" customHeight="1">
      <c r="A388" s="3">
        <v>45743.0</v>
      </c>
      <c r="B388" s="4" t="s">
        <v>114</v>
      </c>
      <c r="C388" s="4" t="s">
        <v>75</v>
      </c>
      <c r="D388" s="4">
        <v>104.0</v>
      </c>
    </row>
    <row r="389" ht="15.75" customHeight="1">
      <c r="A389" s="3">
        <v>45700.0</v>
      </c>
      <c r="B389" s="4" t="s">
        <v>99</v>
      </c>
      <c r="C389" s="4" t="s">
        <v>16</v>
      </c>
      <c r="D389" s="4">
        <v>78.0</v>
      </c>
    </row>
    <row r="390" ht="15.75" customHeight="1">
      <c r="A390" s="3">
        <v>45697.0</v>
      </c>
      <c r="B390" s="4" t="s">
        <v>132</v>
      </c>
      <c r="C390" s="4" t="s">
        <v>26</v>
      </c>
      <c r="D390" s="4">
        <v>91.0</v>
      </c>
    </row>
    <row r="391" ht="15.75" customHeight="1">
      <c r="A391" s="3">
        <v>45685.0</v>
      </c>
      <c r="B391" s="4" t="s">
        <v>51</v>
      </c>
      <c r="C391" s="4" t="s">
        <v>52</v>
      </c>
      <c r="D391" s="4">
        <v>86.0</v>
      </c>
    </row>
    <row r="392" ht="15.75" customHeight="1">
      <c r="A392" s="3">
        <v>45671.0</v>
      </c>
      <c r="B392" s="4" t="s">
        <v>132</v>
      </c>
      <c r="C392" s="4" t="s">
        <v>26</v>
      </c>
      <c r="D392" s="4">
        <v>139.0</v>
      </c>
    </row>
    <row r="393" ht="15.75" customHeight="1">
      <c r="A393" s="3">
        <v>45740.0</v>
      </c>
      <c r="B393" s="4" t="s">
        <v>74</v>
      </c>
      <c r="C393" s="4" t="s">
        <v>75</v>
      </c>
      <c r="D393" s="4">
        <v>67.0</v>
      </c>
    </row>
    <row r="394" ht="15.75" customHeight="1">
      <c r="A394" s="3">
        <v>45742.0</v>
      </c>
      <c r="B394" s="4" t="s">
        <v>127</v>
      </c>
      <c r="C394" s="4" t="s">
        <v>22</v>
      </c>
      <c r="D394" s="4">
        <v>123.0</v>
      </c>
    </row>
    <row r="395" ht="15.75" customHeight="1">
      <c r="A395" s="3">
        <v>45720.0</v>
      </c>
      <c r="B395" s="4" t="s">
        <v>57</v>
      </c>
      <c r="C395" s="4" t="s">
        <v>8</v>
      </c>
      <c r="D395" s="4">
        <v>47.0</v>
      </c>
    </row>
    <row r="396" ht="15.75" customHeight="1">
      <c r="A396" s="3">
        <v>45687.0</v>
      </c>
      <c r="B396" s="4" t="s">
        <v>93</v>
      </c>
      <c r="C396" s="4" t="s">
        <v>82</v>
      </c>
      <c r="D396" s="4">
        <v>135.0</v>
      </c>
    </row>
    <row r="397" ht="15.75" customHeight="1">
      <c r="A397" s="3">
        <v>45669.0</v>
      </c>
      <c r="B397" s="4" t="s">
        <v>25</v>
      </c>
      <c r="C397" s="4" t="s">
        <v>26</v>
      </c>
      <c r="D397" s="4">
        <v>114.0</v>
      </c>
    </row>
    <row r="398" ht="15.75" customHeight="1">
      <c r="A398" s="3">
        <v>45697.0</v>
      </c>
      <c r="B398" s="4" t="s">
        <v>134</v>
      </c>
      <c r="C398" s="4" t="s">
        <v>85</v>
      </c>
      <c r="D398" s="4">
        <v>94.0</v>
      </c>
    </row>
    <row r="399" ht="15.75" customHeight="1">
      <c r="A399" s="3">
        <v>45745.0</v>
      </c>
      <c r="B399" s="4" t="s">
        <v>88</v>
      </c>
      <c r="C399" s="4" t="s">
        <v>75</v>
      </c>
      <c r="D399" s="4">
        <v>16.0</v>
      </c>
    </row>
    <row r="400" ht="15.75" customHeight="1">
      <c r="A400" s="3">
        <v>45697.0</v>
      </c>
      <c r="B400" s="4" t="s">
        <v>121</v>
      </c>
      <c r="C400" s="4" t="s">
        <v>50</v>
      </c>
      <c r="D400" s="4">
        <v>116.0</v>
      </c>
    </row>
    <row r="401" ht="15.75" customHeight="1">
      <c r="A401" s="3">
        <v>45714.0</v>
      </c>
      <c r="B401" s="4" t="s">
        <v>59</v>
      </c>
      <c r="C401" s="4" t="s">
        <v>16</v>
      </c>
      <c r="D401" s="4">
        <v>17.0</v>
      </c>
    </row>
    <row r="402" ht="15.75" customHeight="1">
      <c r="A402" s="3">
        <v>45723.0</v>
      </c>
      <c r="B402" s="4" t="s">
        <v>138</v>
      </c>
      <c r="C402" s="4" t="s">
        <v>85</v>
      </c>
      <c r="D402" s="4">
        <v>69.0</v>
      </c>
    </row>
    <row r="403" ht="15.75" customHeight="1">
      <c r="A403" s="3">
        <v>45745.0</v>
      </c>
      <c r="B403" s="4" t="s">
        <v>123</v>
      </c>
      <c r="C403" s="4" t="s">
        <v>79</v>
      </c>
      <c r="D403" s="4">
        <v>82.0</v>
      </c>
    </row>
    <row r="404" ht="15.75" customHeight="1">
      <c r="A404" s="3">
        <v>45713.0</v>
      </c>
      <c r="B404" s="4" t="s">
        <v>87</v>
      </c>
      <c r="C404" s="4" t="s">
        <v>39</v>
      </c>
      <c r="D404" s="4">
        <v>111.0</v>
      </c>
    </row>
    <row r="405" ht="15.75" customHeight="1">
      <c r="A405" s="3">
        <v>45731.0</v>
      </c>
      <c r="B405" s="4" t="s">
        <v>110</v>
      </c>
      <c r="C405" s="4" t="s">
        <v>8</v>
      </c>
      <c r="D405" s="4">
        <v>142.0</v>
      </c>
    </row>
    <row r="406" ht="15.75" customHeight="1">
      <c r="A406" s="3">
        <v>45738.0</v>
      </c>
      <c r="B406" s="4" t="s">
        <v>116</v>
      </c>
      <c r="C406" s="4" t="s">
        <v>82</v>
      </c>
      <c r="D406" s="4">
        <v>111.0</v>
      </c>
    </row>
    <row r="407" ht="15.75" customHeight="1">
      <c r="A407" s="3">
        <v>45708.0</v>
      </c>
      <c r="B407" s="4" t="s">
        <v>4</v>
      </c>
      <c r="C407" s="4" t="s">
        <v>5</v>
      </c>
      <c r="D407" s="4">
        <v>73.0</v>
      </c>
    </row>
    <row r="408" ht="15.75" customHeight="1">
      <c r="A408" s="3">
        <v>45690.0</v>
      </c>
      <c r="B408" s="4" t="s">
        <v>61</v>
      </c>
      <c r="C408" s="4" t="s">
        <v>62</v>
      </c>
      <c r="D408" s="4">
        <v>117.0</v>
      </c>
    </row>
    <row r="409" ht="15.75" customHeight="1">
      <c r="A409" s="3">
        <v>45731.0</v>
      </c>
      <c r="B409" s="4" t="s">
        <v>106</v>
      </c>
      <c r="C409" s="4" t="s">
        <v>50</v>
      </c>
      <c r="D409" s="4">
        <v>42.0</v>
      </c>
    </row>
    <row r="410" ht="15.75" customHeight="1">
      <c r="A410" s="3">
        <v>45714.0</v>
      </c>
      <c r="B410" s="4" t="s">
        <v>47</v>
      </c>
      <c r="C410" s="4" t="s">
        <v>22</v>
      </c>
      <c r="D410" s="4">
        <v>83.0</v>
      </c>
    </row>
    <row r="411" ht="15.75" customHeight="1">
      <c r="A411" s="3">
        <v>45738.0</v>
      </c>
      <c r="B411" s="4" t="s">
        <v>12</v>
      </c>
      <c r="C411" s="4" t="s">
        <v>13</v>
      </c>
      <c r="D411" s="4">
        <v>100.0</v>
      </c>
    </row>
    <row r="412" ht="15.75" customHeight="1">
      <c r="A412" s="3">
        <v>45693.0</v>
      </c>
      <c r="B412" s="4" t="s">
        <v>131</v>
      </c>
      <c r="C412" s="4" t="s">
        <v>26</v>
      </c>
      <c r="D412" s="4">
        <v>139.0</v>
      </c>
    </row>
    <row r="413" ht="15.75" customHeight="1">
      <c r="A413" s="3">
        <v>45746.0</v>
      </c>
      <c r="B413" s="4" t="s">
        <v>97</v>
      </c>
      <c r="C413" s="4" t="s">
        <v>52</v>
      </c>
      <c r="D413" s="4">
        <v>64.0</v>
      </c>
    </row>
    <row r="414" ht="15.75" customHeight="1">
      <c r="A414" s="3">
        <v>45693.0</v>
      </c>
      <c r="B414" s="4" t="s">
        <v>124</v>
      </c>
      <c r="C414" s="4" t="s">
        <v>26</v>
      </c>
      <c r="D414" s="4">
        <v>102.0</v>
      </c>
    </row>
    <row r="415" ht="15.75" customHeight="1">
      <c r="A415" s="3">
        <v>45713.0</v>
      </c>
      <c r="B415" s="4" t="s">
        <v>15</v>
      </c>
      <c r="C415" s="4" t="s">
        <v>16</v>
      </c>
      <c r="D415" s="4">
        <v>33.0</v>
      </c>
    </row>
    <row r="416" ht="15.75" customHeight="1">
      <c r="A416" s="3">
        <v>45738.0</v>
      </c>
      <c r="B416" s="4" t="s">
        <v>87</v>
      </c>
      <c r="C416" s="4" t="s">
        <v>39</v>
      </c>
      <c r="D416" s="4">
        <v>76.0</v>
      </c>
    </row>
    <row r="417" ht="15.75" customHeight="1">
      <c r="A417" s="3">
        <v>45673.0</v>
      </c>
      <c r="B417" s="4" t="s">
        <v>47</v>
      </c>
      <c r="C417" s="4" t="s">
        <v>22</v>
      </c>
      <c r="D417" s="4">
        <v>52.0</v>
      </c>
    </row>
    <row r="418" ht="15.75" customHeight="1">
      <c r="A418" s="3">
        <v>45736.0</v>
      </c>
      <c r="B418" s="4" t="s">
        <v>140</v>
      </c>
      <c r="C418" s="4" t="s">
        <v>85</v>
      </c>
      <c r="D418" s="4">
        <v>8.0</v>
      </c>
    </row>
    <row r="419" ht="15.75" customHeight="1">
      <c r="A419" s="3">
        <v>45722.0</v>
      </c>
      <c r="B419" s="4" t="s">
        <v>6</v>
      </c>
      <c r="C419" s="4" t="s">
        <v>5</v>
      </c>
      <c r="D419" s="4">
        <v>88.0</v>
      </c>
    </row>
    <row r="420" ht="15.75" customHeight="1">
      <c r="A420" s="3">
        <v>45679.0</v>
      </c>
      <c r="B420" s="4" t="s">
        <v>101</v>
      </c>
      <c r="C420" s="4" t="s">
        <v>24</v>
      </c>
      <c r="D420" s="4">
        <v>109.0</v>
      </c>
    </row>
    <row r="421" ht="15.75" customHeight="1">
      <c r="A421" s="3">
        <v>45697.0</v>
      </c>
      <c r="B421" s="4" t="s">
        <v>119</v>
      </c>
      <c r="C421" s="4" t="s">
        <v>16</v>
      </c>
      <c r="D421" s="4">
        <v>134.0</v>
      </c>
    </row>
    <row r="422" ht="15.75" customHeight="1">
      <c r="A422" s="3">
        <v>45659.0</v>
      </c>
      <c r="B422" s="4" t="s">
        <v>25</v>
      </c>
      <c r="C422" s="4" t="s">
        <v>26</v>
      </c>
      <c r="D422" s="4">
        <v>103.0</v>
      </c>
    </row>
    <row r="423" ht="15.75" customHeight="1">
      <c r="A423" s="3">
        <v>45680.0</v>
      </c>
      <c r="B423" s="4" t="s">
        <v>42</v>
      </c>
      <c r="C423" s="4" t="s">
        <v>24</v>
      </c>
      <c r="D423" s="4">
        <v>135.0</v>
      </c>
    </row>
    <row r="424" ht="15.75" customHeight="1">
      <c r="A424" s="3">
        <v>45687.0</v>
      </c>
      <c r="B424" s="4" t="s">
        <v>91</v>
      </c>
      <c r="C424" s="4" t="s">
        <v>26</v>
      </c>
      <c r="D424" s="4">
        <v>59.0</v>
      </c>
    </row>
    <row r="425" ht="15.75" customHeight="1">
      <c r="A425" s="3">
        <v>45691.0</v>
      </c>
      <c r="B425" s="4" t="s">
        <v>84</v>
      </c>
      <c r="C425" s="4" t="s">
        <v>85</v>
      </c>
      <c r="D425" s="4">
        <v>23.0</v>
      </c>
    </row>
    <row r="426" ht="15.75" customHeight="1">
      <c r="A426" s="3">
        <v>45658.0</v>
      </c>
      <c r="B426" s="4" t="s">
        <v>37</v>
      </c>
      <c r="C426" s="4" t="s">
        <v>8</v>
      </c>
      <c r="D426" s="4">
        <v>75.0</v>
      </c>
    </row>
    <row r="427" ht="15.75" customHeight="1">
      <c r="A427" s="3">
        <v>45744.0</v>
      </c>
      <c r="B427" s="4" t="s">
        <v>14</v>
      </c>
      <c r="C427" s="4" t="s">
        <v>8</v>
      </c>
      <c r="D427" s="4">
        <v>37.0</v>
      </c>
    </row>
    <row r="428" ht="15.75" customHeight="1">
      <c r="A428" s="3">
        <v>45697.0</v>
      </c>
      <c r="B428" s="4" t="s">
        <v>122</v>
      </c>
      <c r="C428" s="4" t="s">
        <v>26</v>
      </c>
      <c r="D428" s="4">
        <v>130.0</v>
      </c>
    </row>
    <row r="429" ht="15.75" customHeight="1">
      <c r="A429" s="3">
        <v>45675.0</v>
      </c>
      <c r="B429" s="4" t="s">
        <v>96</v>
      </c>
      <c r="C429" s="4" t="s">
        <v>50</v>
      </c>
      <c r="D429" s="4">
        <v>150.0</v>
      </c>
    </row>
    <row r="430" ht="15.75" customHeight="1">
      <c r="A430" s="3">
        <v>45664.0</v>
      </c>
      <c r="B430" s="4" t="s">
        <v>7</v>
      </c>
      <c r="C430" s="4" t="s">
        <v>8</v>
      </c>
      <c r="D430" s="4">
        <v>108.0</v>
      </c>
    </row>
    <row r="431" ht="15.75" customHeight="1">
      <c r="A431" s="3">
        <v>45676.0</v>
      </c>
      <c r="B431" s="4" t="s">
        <v>6</v>
      </c>
      <c r="C431" s="4" t="s">
        <v>5</v>
      </c>
      <c r="D431" s="4">
        <v>69.0</v>
      </c>
    </row>
    <row r="432" ht="15.75" customHeight="1">
      <c r="A432" s="3">
        <v>45734.0</v>
      </c>
      <c r="B432" s="4" t="s">
        <v>108</v>
      </c>
      <c r="C432" s="4" t="s">
        <v>109</v>
      </c>
      <c r="D432" s="4">
        <v>103.0</v>
      </c>
    </row>
    <row r="433" ht="15.75" customHeight="1">
      <c r="A433" s="3">
        <v>45695.0</v>
      </c>
      <c r="B433" s="4" t="s">
        <v>87</v>
      </c>
      <c r="C433" s="4" t="s">
        <v>39</v>
      </c>
      <c r="D433" s="4">
        <v>143.0</v>
      </c>
    </row>
    <row r="434" ht="15.75" customHeight="1">
      <c r="A434" s="3">
        <v>45737.0</v>
      </c>
      <c r="B434" s="4" t="s">
        <v>47</v>
      </c>
      <c r="C434" s="4" t="s">
        <v>22</v>
      </c>
      <c r="D434" s="4">
        <v>145.0</v>
      </c>
    </row>
    <row r="435" ht="15.75" customHeight="1">
      <c r="A435" s="3">
        <v>45712.0</v>
      </c>
      <c r="B435" s="4" t="s">
        <v>128</v>
      </c>
      <c r="C435" s="4" t="s">
        <v>82</v>
      </c>
      <c r="D435" s="4">
        <v>34.0</v>
      </c>
    </row>
    <row r="436" ht="15.75" customHeight="1">
      <c r="A436" s="3">
        <v>45743.0</v>
      </c>
      <c r="B436" s="4" t="s">
        <v>137</v>
      </c>
      <c r="C436" s="4" t="s">
        <v>20</v>
      </c>
      <c r="D436" s="4">
        <v>103.0</v>
      </c>
    </row>
    <row r="437" ht="15.75" customHeight="1">
      <c r="A437" s="3">
        <v>45730.0</v>
      </c>
      <c r="B437" s="4" t="s">
        <v>66</v>
      </c>
      <c r="C437" s="4" t="s">
        <v>52</v>
      </c>
      <c r="D437" s="4">
        <v>118.0</v>
      </c>
    </row>
    <row r="438" ht="15.75" customHeight="1">
      <c r="A438" s="3">
        <v>45691.0</v>
      </c>
      <c r="B438" s="4" t="s">
        <v>64</v>
      </c>
      <c r="C438" s="4" t="s">
        <v>41</v>
      </c>
      <c r="D438" s="4">
        <v>29.0</v>
      </c>
    </row>
    <row r="439" ht="15.75" customHeight="1">
      <c r="A439" s="3">
        <v>45688.0</v>
      </c>
      <c r="B439" s="4" t="s">
        <v>4</v>
      </c>
      <c r="C439" s="4" t="s">
        <v>5</v>
      </c>
      <c r="D439" s="4">
        <v>80.0</v>
      </c>
    </row>
    <row r="440" ht="15.75" customHeight="1">
      <c r="A440" s="3">
        <v>45684.0</v>
      </c>
      <c r="B440" s="4" t="s">
        <v>113</v>
      </c>
      <c r="C440" s="4" t="s">
        <v>85</v>
      </c>
      <c r="D440" s="4">
        <v>91.0</v>
      </c>
    </row>
    <row r="441" ht="15.75" customHeight="1">
      <c r="A441" s="3">
        <v>45693.0</v>
      </c>
      <c r="B441" s="4" t="s">
        <v>57</v>
      </c>
      <c r="C441" s="4" t="s">
        <v>8</v>
      </c>
      <c r="D441" s="4">
        <v>87.0</v>
      </c>
    </row>
    <row r="442" ht="15.75" customHeight="1">
      <c r="A442" s="3">
        <v>45722.0</v>
      </c>
      <c r="B442" s="4" t="s">
        <v>70</v>
      </c>
      <c r="C442" s="4" t="s">
        <v>52</v>
      </c>
      <c r="D442" s="4">
        <v>4.0</v>
      </c>
    </row>
    <row r="443" ht="15.75" customHeight="1">
      <c r="A443" s="3">
        <v>45699.0</v>
      </c>
      <c r="B443" s="4" t="s">
        <v>66</v>
      </c>
      <c r="C443" s="4" t="s">
        <v>52</v>
      </c>
      <c r="D443" s="4">
        <v>121.0</v>
      </c>
    </row>
    <row r="444" ht="15.75" customHeight="1">
      <c r="A444" s="3">
        <v>45666.0</v>
      </c>
      <c r="B444" s="4" t="s">
        <v>86</v>
      </c>
      <c r="C444" s="4" t="s">
        <v>26</v>
      </c>
      <c r="D444" s="4">
        <v>9.0</v>
      </c>
    </row>
    <row r="445" ht="15.75" customHeight="1">
      <c r="A445" s="3">
        <v>45715.0</v>
      </c>
      <c r="B445" s="4" t="s">
        <v>58</v>
      </c>
      <c r="C445" s="4" t="s">
        <v>24</v>
      </c>
      <c r="D445" s="4">
        <v>149.0</v>
      </c>
    </row>
    <row r="446" ht="15.75" customHeight="1">
      <c r="A446" s="3">
        <v>45672.0</v>
      </c>
      <c r="B446" s="4" t="s">
        <v>35</v>
      </c>
      <c r="C446" s="4" t="s">
        <v>8</v>
      </c>
      <c r="D446" s="4">
        <v>125.0</v>
      </c>
    </row>
    <row r="447" ht="15.75" customHeight="1">
      <c r="A447" s="3">
        <v>45720.0</v>
      </c>
      <c r="B447" s="4" t="s">
        <v>92</v>
      </c>
      <c r="C447" s="4" t="s">
        <v>82</v>
      </c>
      <c r="D447" s="4">
        <v>145.0</v>
      </c>
    </row>
    <row r="448" ht="15.75" customHeight="1">
      <c r="A448" s="3">
        <v>45664.0</v>
      </c>
      <c r="B448" s="4" t="s">
        <v>12</v>
      </c>
      <c r="C448" s="4" t="s">
        <v>13</v>
      </c>
      <c r="D448" s="4">
        <v>99.0</v>
      </c>
    </row>
    <row r="449" ht="15.75" customHeight="1">
      <c r="A449" s="3">
        <v>45725.0</v>
      </c>
      <c r="B449" s="4" t="s">
        <v>7</v>
      </c>
      <c r="C449" s="4" t="s">
        <v>8</v>
      </c>
      <c r="D449" s="4">
        <v>68.0</v>
      </c>
    </row>
    <row r="450" ht="15.75" customHeight="1">
      <c r="A450" s="3">
        <v>45728.0</v>
      </c>
      <c r="B450" s="4" t="s">
        <v>90</v>
      </c>
      <c r="C450" s="4" t="s">
        <v>39</v>
      </c>
      <c r="D450" s="4">
        <v>6.0</v>
      </c>
    </row>
    <row r="451" ht="15.75" customHeight="1">
      <c r="A451" s="3">
        <v>45674.0</v>
      </c>
      <c r="B451" s="4" t="s">
        <v>120</v>
      </c>
      <c r="C451" s="4" t="s">
        <v>26</v>
      </c>
      <c r="D451" s="4">
        <v>9.0</v>
      </c>
    </row>
    <row r="452" ht="15.75" customHeight="1">
      <c r="A452" s="3">
        <v>45698.0</v>
      </c>
      <c r="B452" s="4" t="s">
        <v>112</v>
      </c>
      <c r="C452" s="4" t="s">
        <v>31</v>
      </c>
      <c r="D452" s="4">
        <v>11.0</v>
      </c>
    </row>
    <row r="453" ht="15.75" customHeight="1">
      <c r="A453" s="3">
        <v>45689.0</v>
      </c>
      <c r="B453" s="4" t="s">
        <v>74</v>
      </c>
      <c r="C453" s="4" t="s">
        <v>75</v>
      </c>
      <c r="D453" s="4">
        <v>73.0</v>
      </c>
    </row>
    <row r="454" ht="15.75" customHeight="1">
      <c r="A454" s="3">
        <v>45685.0</v>
      </c>
      <c r="B454" s="4" t="s">
        <v>131</v>
      </c>
      <c r="C454" s="4" t="s">
        <v>26</v>
      </c>
      <c r="D454" s="4">
        <v>116.0</v>
      </c>
    </row>
    <row r="455" ht="15.75" customHeight="1">
      <c r="A455" s="3">
        <v>45732.0</v>
      </c>
      <c r="B455" s="4" t="s">
        <v>17</v>
      </c>
      <c r="C455" s="4" t="s">
        <v>16</v>
      </c>
      <c r="D455" s="4">
        <v>50.0</v>
      </c>
    </row>
    <row r="456" ht="15.75" customHeight="1">
      <c r="A456" s="3">
        <v>45671.0</v>
      </c>
      <c r="B456" s="4" t="s">
        <v>4</v>
      </c>
      <c r="C456" s="4" t="s">
        <v>5</v>
      </c>
      <c r="D456" s="4">
        <v>144.0</v>
      </c>
    </row>
    <row r="457" ht="15.75" customHeight="1">
      <c r="A457" s="3">
        <v>45711.0</v>
      </c>
      <c r="B457" s="4" t="s">
        <v>112</v>
      </c>
      <c r="C457" s="4" t="s">
        <v>31</v>
      </c>
      <c r="D457" s="4">
        <v>50.0</v>
      </c>
    </row>
    <row r="458" ht="15.75" customHeight="1">
      <c r="A458" s="3">
        <v>45734.0</v>
      </c>
      <c r="B458" s="4" t="s">
        <v>4</v>
      </c>
      <c r="C458" s="4" t="s">
        <v>5</v>
      </c>
      <c r="D458" s="4">
        <v>78.0</v>
      </c>
    </row>
    <row r="459" ht="15.75" customHeight="1">
      <c r="A459" s="3">
        <v>45725.0</v>
      </c>
      <c r="B459" s="4" t="s">
        <v>91</v>
      </c>
      <c r="C459" s="4" t="s">
        <v>26</v>
      </c>
      <c r="D459" s="4">
        <v>19.0</v>
      </c>
    </row>
    <row r="460" ht="15.75" customHeight="1">
      <c r="A460" s="3">
        <v>45665.0</v>
      </c>
      <c r="B460" s="4" t="s">
        <v>90</v>
      </c>
      <c r="C460" s="4" t="s">
        <v>39</v>
      </c>
      <c r="D460" s="4">
        <v>125.0</v>
      </c>
    </row>
    <row r="461" ht="15.75" customHeight="1">
      <c r="A461" s="3">
        <v>45686.0</v>
      </c>
      <c r="B461" s="4" t="s">
        <v>135</v>
      </c>
      <c r="C461" s="4" t="s">
        <v>62</v>
      </c>
      <c r="D461" s="4">
        <v>30.0</v>
      </c>
    </row>
    <row r="462" ht="15.75" customHeight="1">
      <c r="A462" s="3">
        <v>45713.0</v>
      </c>
      <c r="B462" s="4" t="s">
        <v>35</v>
      </c>
      <c r="C462" s="4" t="s">
        <v>8</v>
      </c>
      <c r="D462" s="4">
        <v>6.0</v>
      </c>
    </row>
    <row r="463" ht="15.75" customHeight="1">
      <c r="A463" s="3">
        <v>45718.0</v>
      </c>
      <c r="B463" s="4" t="s">
        <v>68</v>
      </c>
      <c r="C463" s="4" t="s">
        <v>62</v>
      </c>
      <c r="D463" s="4">
        <v>144.0</v>
      </c>
    </row>
    <row r="464" ht="15.75" customHeight="1">
      <c r="A464" s="3">
        <v>45736.0</v>
      </c>
      <c r="B464" s="4" t="s">
        <v>56</v>
      </c>
      <c r="C464" s="4" t="s">
        <v>5</v>
      </c>
      <c r="D464" s="4">
        <v>61.0</v>
      </c>
    </row>
    <row r="465" ht="15.75" customHeight="1">
      <c r="A465" s="3">
        <v>45743.0</v>
      </c>
      <c r="B465" s="4" t="s">
        <v>70</v>
      </c>
      <c r="C465" s="4" t="s">
        <v>52</v>
      </c>
      <c r="D465" s="4">
        <v>138.0</v>
      </c>
    </row>
    <row r="466" ht="15.75" customHeight="1">
      <c r="A466" s="3">
        <v>45700.0</v>
      </c>
      <c r="B466" s="4" t="s">
        <v>97</v>
      </c>
      <c r="C466" s="4" t="s">
        <v>52</v>
      </c>
      <c r="D466" s="4">
        <v>9.0</v>
      </c>
    </row>
    <row r="467" ht="15.75" customHeight="1">
      <c r="A467" s="3">
        <v>45663.0</v>
      </c>
      <c r="B467" s="4" t="s">
        <v>101</v>
      </c>
      <c r="C467" s="4" t="s">
        <v>24</v>
      </c>
      <c r="D467" s="4">
        <v>13.0</v>
      </c>
    </row>
    <row r="468" ht="15.75" customHeight="1">
      <c r="A468" s="3">
        <v>45686.0</v>
      </c>
      <c r="B468" s="4" t="s">
        <v>132</v>
      </c>
      <c r="C468" s="4" t="s">
        <v>26</v>
      </c>
      <c r="D468" s="4">
        <v>102.0</v>
      </c>
    </row>
    <row r="469" ht="15.75" customHeight="1">
      <c r="A469" s="3">
        <v>45688.0</v>
      </c>
      <c r="B469" s="4" t="s">
        <v>42</v>
      </c>
      <c r="C469" s="4" t="s">
        <v>24</v>
      </c>
      <c r="D469" s="4">
        <v>78.0</v>
      </c>
    </row>
    <row r="470" ht="15.75" customHeight="1">
      <c r="A470" s="3">
        <v>45661.0</v>
      </c>
      <c r="B470" s="4" t="s">
        <v>34</v>
      </c>
      <c r="C470" s="4" t="s">
        <v>28</v>
      </c>
      <c r="D470" s="4">
        <v>112.0</v>
      </c>
    </row>
    <row r="471" ht="15.75" customHeight="1">
      <c r="A471" s="3">
        <v>45721.0</v>
      </c>
      <c r="B471" s="4" t="s">
        <v>91</v>
      </c>
      <c r="C471" s="4" t="s">
        <v>26</v>
      </c>
      <c r="D471" s="4">
        <v>107.0</v>
      </c>
    </row>
    <row r="472" ht="15.75" customHeight="1">
      <c r="A472" s="3">
        <v>45705.0</v>
      </c>
      <c r="B472" s="4" t="s">
        <v>63</v>
      </c>
      <c r="C472" s="4" t="s">
        <v>26</v>
      </c>
      <c r="D472" s="4">
        <v>46.0</v>
      </c>
    </row>
    <row r="473" ht="15.75" customHeight="1">
      <c r="A473" s="3">
        <v>45734.0</v>
      </c>
      <c r="B473" s="4" t="s">
        <v>86</v>
      </c>
      <c r="C473" s="4" t="s">
        <v>26</v>
      </c>
      <c r="D473" s="4">
        <v>137.0</v>
      </c>
    </row>
    <row r="474" ht="15.75" customHeight="1">
      <c r="A474" s="3">
        <v>45697.0</v>
      </c>
      <c r="B474" s="4" t="s">
        <v>137</v>
      </c>
      <c r="C474" s="4" t="s">
        <v>20</v>
      </c>
      <c r="D474" s="4">
        <v>90.0</v>
      </c>
    </row>
    <row r="475" ht="15.75" customHeight="1">
      <c r="A475" s="3">
        <v>45668.0</v>
      </c>
      <c r="B475" s="4" t="s">
        <v>83</v>
      </c>
      <c r="C475" s="4" t="s">
        <v>5</v>
      </c>
      <c r="D475" s="4">
        <v>100.0</v>
      </c>
    </row>
    <row r="476" ht="15.75" customHeight="1">
      <c r="A476" s="3">
        <v>45707.0</v>
      </c>
      <c r="B476" s="4" t="s">
        <v>113</v>
      </c>
      <c r="C476" s="4" t="s">
        <v>85</v>
      </c>
      <c r="D476" s="4">
        <v>66.0</v>
      </c>
    </row>
    <row r="477" ht="15.75" customHeight="1">
      <c r="A477" s="3">
        <v>45664.0</v>
      </c>
      <c r="B477" s="4" t="s">
        <v>99</v>
      </c>
      <c r="C477" s="4" t="s">
        <v>16</v>
      </c>
      <c r="D477" s="4">
        <v>30.0</v>
      </c>
    </row>
    <row r="478" ht="15.75" customHeight="1">
      <c r="A478" s="3">
        <v>45703.0</v>
      </c>
      <c r="B478" s="4" t="s">
        <v>67</v>
      </c>
      <c r="C478" s="4" t="s">
        <v>39</v>
      </c>
      <c r="D478" s="4">
        <v>97.0</v>
      </c>
    </row>
    <row r="479" ht="15.75" customHeight="1">
      <c r="A479" s="3">
        <v>45699.0</v>
      </c>
      <c r="B479" s="4" t="s">
        <v>68</v>
      </c>
      <c r="C479" s="4" t="s">
        <v>62</v>
      </c>
      <c r="D479" s="4">
        <v>9.0</v>
      </c>
    </row>
    <row r="480" ht="15.75" customHeight="1">
      <c r="A480" s="3">
        <v>45705.0</v>
      </c>
      <c r="B480" s="4" t="s">
        <v>121</v>
      </c>
      <c r="C480" s="4" t="s">
        <v>50</v>
      </c>
      <c r="D480" s="4">
        <v>13.0</v>
      </c>
    </row>
    <row r="481" ht="15.75" customHeight="1">
      <c r="A481" s="3">
        <v>45699.0</v>
      </c>
      <c r="B481" s="4" t="s">
        <v>15</v>
      </c>
      <c r="C481" s="4" t="s">
        <v>16</v>
      </c>
      <c r="D481" s="4">
        <v>48.0</v>
      </c>
    </row>
    <row r="482" ht="15.75" customHeight="1">
      <c r="A482" s="3">
        <v>45695.0</v>
      </c>
      <c r="B482" s="4" t="s">
        <v>131</v>
      </c>
      <c r="C482" s="4" t="s">
        <v>26</v>
      </c>
      <c r="D482" s="4">
        <v>29.0</v>
      </c>
    </row>
    <row r="483" ht="15.75" customHeight="1">
      <c r="A483" s="3">
        <v>45736.0</v>
      </c>
      <c r="B483" s="4" t="s">
        <v>113</v>
      </c>
      <c r="C483" s="4" t="s">
        <v>85</v>
      </c>
      <c r="D483" s="4">
        <v>10.0</v>
      </c>
    </row>
    <row r="484" ht="15.75" customHeight="1">
      <c r="A484" s="3">
        <v>45745.0</v>
      </c>
      <c r="B484" s="4" t="s">
        <v>12</v>
      </c>
      <c r="C484" s="4" t="s">
        <v>13</v>
      </c>
      <c r="D484" s="4">
        <v>7.0</v>
      </c>
    </row>
    <row r="485" ht="15.75" customHeight="1">
      <c r="A485" s="3">
        <v>45678.0</v>
      </c>
      <c r="B485" s="4" t="s">
        <v>14</v>
      </c>
      <c r="C485" s="4" t="s">
        <v>8</v>
      </c>
      <c r="D485" s="4">
        <v>98.0</v>
      </c>
    </row>
    <row r="486" ht="15.75" customHeight="1">
      <c r="A486" s="3">
        <v>45679.0</v>
      </c>
      <c r="B486" s="4" t="s">
        <v>61</v>
      </c>
      <c r="C486" s="4" t="s">
        <v>62</v>
      </c>
      <c r="D486" s="4">
        <v>106.0</v>
      </c>
    </row>
    <row r="487" ht="15.75" customHeight="1">
      <c r="A487" s="3">
        <v>45692.0</v>
      </c>
      <c r="B487" s="4" t="s">
        <v>90</v>
      </c>
      <c r="C487" s="4" t="s">
        <v>39</v>
      </c>
      <c r="D487" s="4">
        <v>93.0</v>
      </c>
    </row>
    <row r="488" ht="15.75" customHeight="1">
      <c r="A488" s="3">
        <v>45712.0</v>
      </c>
      <c r="B488" s="4" t="s">
        <v>122</v>
      </c>
      <c r="C488" s="4" t="s">
        <v>26</v>
      </c>
      <c r="D488" s="4">
        <v>55.0</v>
      </c>
    </row>
    <row r="489" ht="15.75" customHeight="1">
      <c r="A489" s="3">
        <v>45711.0</v>
      </c>
      <c r="B489" s="4" t="s">
        <v>55</v>
      </c>
      <c r="C489" s="4" t="s">
        <v>24</v>
      </c>
      <c r="D489" s="4">
        <v>114.0</v>
      </c>
    </row>
    <row r="490" ht="15.75" customHeight="1">
      <c r="A490" s="3">
        <v>45683.0</v>
      </c>
      <c r="B490" s="4" t="s">
        <v>81</v>
      </c>
      <c r="C490" s="4" t="s">
        <v>82</v>
      </c>
      <c r="D490" s="4">
        <v>115.0</v>
      </c>
    </row>
    <row r="491" ht="15.75" customHeight="1">
      <c r="A491" s="3">
        <v>45658.0</v>
      </c>
      <c r="B491" s="4" t="s">
        <v>83</v>
      </c>
      <c r="C491" s="4" t="s">
        <v>5</v>
      </c>
      <c r="D491" s="4">
        <v>32.0</v>
      </c>
    </row>
    <row r="492" ht="15.75" customHeight="1">
      <c r="A492" s="3">
        <v>45703.0</v>
      </c>
      <c r="B492" s="4" t="s">
        <v>98</v>
      </c>
      <c r="C492" s="4" t="s">
        <v>22</v>
      </c>
      <c r="D492" s="4">
        <v>11.0</v>
      </c>
    </row>
    <row r="493" ht="15.75" customHeight="1">
      <c r="A493" s="3">
        <v>45736.0</v>
      </c>
      <c r="B493" s="4" t="s">
        <v>36</v>
      </c>
      <c r="C493" s="4" t="s">
        <v>22</v>
      </c>
      <c r="D493" s="4">
        <v>10.0</v>
      </c>
    </row>
    <row r="494" ht="15.75" customHeight="1">
      <c r="A494" s="3">
        <v>45682.0</v>
      </c>
      <c r="B494" s="4" t="s">
        <v>40</v>
      </c>
      <c r="C494" s="4" t="s">
        <v>41</v>
      </c>
      <c r="D494" s="4">
        <v>133.0</v>
      </c>
    </row>
    <row r="495" ht="15.75" customHeight="1">
      <c r="A495" s="3">
        <v>45728.0</v>
      </c>
      <c r="B495" s="4" t="s">
        <v>104</v>
      </c>
      <c r="C495" s="4" t="s">
        <v>5</v>
      </c>
      <c r="D495" s="4">
        <v>90.0</v>
      </c>
    </row>
    <row r="496" ht="15.75" customHeight="1">
      <c r="A496" s="3">
        <v>45698.0</v>
      </c>
      <c r="B496" s="4" t="s">
        <v>49</v>
      </c>
      <c r="C496" s="4" t="s">
        <v>50</v>
      </c>
      <c r="D496" s="4">
        <v>39.0</v>
      </c>
    </row>
    <row r="497" ht="15.75" customHeight="1">
      <c r="A497" s="3">
        <v>45676.0</v>
      </c>
      <c r="B497" s="4" t="s">
        <v>45</v>
      </c>
      <c r="C497" s="4" t="s">
        <v>24</v>
      </c>
      <c r="D497" s="4">
        <v>139.0</v>
      </c>
    </row>
    <row r="498" ht="15.75" customHeight="1">
      <c r="A498" s="3">
        <v>45667.0</v>
      </c>
      <c r="B498" s="4" t="s">
        <v>96</v>
      </c>
      <c r="C498" s="4" t="s">
        <v>50</v>
      </c>
      <c r="D498" s="4">
        <v>52.0</v>
      </c>
    </row>
    <row r="499" ht="15.75" customHeight="1">
      <c r="A499" s="3">
        <v>45714.0</v>
      </c>
      <c r="B499" s="4" t="s">
        <v>103</v>
      </c>
      <c r="C499" s="4" t="s">
        <v>26</v>
      </c>
      <c r="D499" s="4">
        <v>142.0</v>
      </c>
    </row>
    <row r="500" ht="15.75" customHeight="1">
      <c r="A500" s="3">
        <v>45679.0</v>
      </c>
      <c r="B500" s="4" t="s">
        <v>136</v>
      </c>
      <c r="C500" s="4" t="s">
        <v>79</v>
      </c>
      <c r="D500" s="4">
        <v>29.0</v>
      </c>
    </row>
    <row r="501" ht="15.75" customHeight="1">
      <c r="A501" s="3">
        <v>45726.0</v>
      </c>
      <c r="B501" s="4" t="s">
        <v>12</v>
      </c>
      <c r="C501" s="4" t="s">
        <v>13</v>
      </c>
      <c r="D501" s="4">
        <v>2.0</v>
      </c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</sheetData>
  <autoFilter ref="$A$1:$Z$50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8.71"/>
    <col customWidth="1" min="3" max="3" width="21.0"/>
    <col customWidth="1" min="4" max="4" width="11.43"/>
    <col customWidth="1" min="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45677.0</v>
      </c>
      <c r="B2" s="4" t="s">
        <v>58</v>
      </c>
      <c r="C2" s="4" t="s">
        <v>24</v>
      </c>
      <c r="D2" s="4">
        <v>18.0</v>
      </c>
      <c r="E2" s="4" t="str">
        <f>IF(F2&lt;=0,"Obsoleto",IF(F2&lt;=20,"Crítico",IF(F2&lt;=100,"OK","Excesso")))</f>
        <v>Obsoleto</v>
      </c>
      <c r="F2" s="6">
        <v>0.0</v>
      </c>
    </row>
    <row r="3">
      <c r="A3" s="3">
        <v>45705.0</v>
      </c>
      <c r="B3" s="4" t="s">
        <v>130</v>
      </c>
      <c r="C3" s="4" t="s">
        <v>52</v>
      </c>
      <c r="D3" s="4">
        <v>40.0</v>
      </c>
    </row>
    <row r="4">
      <c r="A4" s="3">
        <v>45710.0</v>
      </c>
      <c r="B4" s="4" t="s">
        <v>32</v>
      </c>
      <c r="C4" s="4" t="s">
        <v>22</v>
      </c>
      <c r="D4" s="4">
        <v>61.0</v>
      </c>
    </row>
    <row r="5">
      <c r="A5" s="3">
        <v>45664.0</v>
      </c>
      <c r="B5" s="4" t="s">
        <v>68</v>
      </c>
      <c r="C5" s="4" t="s">
        <v>62</v>
      </c>
      <c r="D5" s="4">
        <v>62.0</v>
      </c>
    </row>
    <row r="6">
      <c r="A6" s="3">
        <v>45663.0</v>
      </c>
      <c r="B6" s="4" t="s">
        <v>133</v>
      </c>
      <c r="C6" s="4" t="s">
        <v>24</v>
      </c>
      <c r="D6" s="4">
        <v>70.0</v>
      </c>
    </row>
    <row r="7">
      <c r="A7" s="3">
        <v>45685.0</v>
      </c>
      <c r="B7" s="4" t="s">
        <v>110</v>
      </c>
      <c r="C7" s="4" t="s">
        <v>8</v>
      </c>
      <c r="D7" s="4">
        <v>69.0</v>
      </c>
    </row>
    <row r="8">
      <c r="A8" s="3">
        <v>45680.0</v>
      </c>
      <c r="B8" s="4" t="s">
        <v>140</v>
      </c>
      <c r="C8" s="4" t="s">
        <v>85</v>
      </c>
      <c r="D8" s="4">
        <v>54.0</v>
      </c>
    </row>
    <row r="9">
      <c r="A9" s="3">
        <v>45675.0</v>
      </c>
      <c r="B9" s="4" t="s">
        <v>36</v>
      </c>
      <c r="C9" s="4" t="s">
        <v>22</v>
      </c>
      <c r="D9" s="4">
        <v>47.0</v>
      </c>
    </row>
    <row r="10">
      <c r="A10" s="3">
        <v>45726.0</v>
      </c>
      <c r="B10" s="4" t="s">
        <v>87</v>
      </c>
      <c r="C10" s="4" t="s">
        <v>39</v>
      </c>
      <c r="D10" s="4">
        <v>28.0</v>
      </c>
    </row>
    <row r="11">
      <c r="A11" s="3">
        <v>45734.0</v>
      </c>
      <c r="B11" s="4" t="s">
        <v>15</v>
      </c>
      <c r="C11" s="4" t="s">
        <v>16</v>
      </c>
      <c r="D11" s="4">
        <v>68.0</v>
      </c>
    </row>
    <row r="12">
      <c r="A12" s="3">
        <v>45728.0</v>
      </c>
      <c r="B12" s="4" t="s">
        <v>49</v>
      </c>
      <c r="C12" s="4" t="s">
        <v>50</v>
      </c>
      <c r="D12" s="4">
        <v>1.0</v>
      </c>
    </row>
    <row r="13">
      <c r="A13" s="3">
        <v>45706.0</v>
      </c>
      <c r="B13" s="4" t="s">
        <v>53</v>
      </c>
      <c r="C13" s="4" t="s">
        <v>50</v>
      </c>
      <c r="D13" s="4">
        <v>47.0</v>
      </c>
    </row>
    <row r="14">
      <c r="A14" s="3">
        <v>45658.0</v>
      </c>
      <c r="B14" s="4" t="s">
        <v>129</v>
      </c>
      <c r="C14" s="4" t="s">
        <v>41</v>
      </c>
      <c r="D14" s="4">
        <v>76.0</v>
      </c>
    </row>
    <row r="15">
      <c r="A15" s="3">
        <v>45679.0</v>
      </c>
      <c r="B15" s="4" t="s">
        <v>69</v>
      </c>
      <c r="C15" s="4" t="s">
        <v>24</v>
      </c>
      <c r="D15" s="4">
        <v>70.0</v>
      </c>
    </row>
    <row r="16">
      <c r="A16" s="3">
        <v>45671.0</v>
      </c>
      <c r="B16" s="4" t="s">
        <v>53</v>
      </c>
      <c r="C16" s="4" t="s">
        <v>50</v>
      </c>
      <c r="D16" s="4">
        <v>22.0</v>
      </c>
    </row>
    <row r="17">
      <c r="A17" s="3">
        <v>45729.0</v>
      </c>
      <c r="B17" s="4" t="s">
        <v>94</v>
      </c>
      <c r="C17" s="4" t="s">
        <v>52</v>
      </c>
      <c r="D17" s="4">
        <v>75.0</v>
      </c>
    </row>
    <row r="18">
      <c r="A18" s="3">
        <v>45723.0</v>
      </c>
      <c r="B18" s="4" t="s">
        <v>19</v>
      </c>
      <c r="C18" s="4" t="s">
        <v>20</v>
      </c>
      <c r="D18" s="4">
        <v>66.0</v>
      </c>
    </row>
    <row r="19">
      <c r="A19" s="3">
        <v>45746.0</v>
      </c>
      <c r="B19" s="4" t="s">
        <v>112</v>
      </c>
      <c r="C19" s="4" t="s">
        <v>31</v>
      </c>
      <c r="D19" s="4">
        <v>78.0</v>
      </c>
    </row>
    <row r="20">
      <c r="A20" s="3">
        <v>45666.0</v>
      </c>
      <c r="B20" s="4" t="s">
        <v>141</v>
      </c>
      <c r="C20" s="4" t="s">
        <v>24</v>
      </c>
      <c r="D20" s="4">
        <v>62.0</v>
      </c>
    </row>
    <row r="21" ht="15.75" customHeight="1">
      <c r="A21" s="3">
        <v>45706.0</v>
      </c>
      <c r="B21" s="4" t="s">
        <v>46</v>
      </c>
      <c r="C21" s="4" t="s">
        <v>20</v>
      </c>
      <c r="D21" s="4">
        <v>74.0</v>
      </c>
    </row>
    <row r="22" ht="15.75" customHeight="1">
      <c r="A22" s="3">
        <v>45715.0</v>
      </c>
      <c r="B22" s="4" t="s">
        <v>45</v>
      </c>
      <c r="C22" s="4" t="s">
        <v>24</v>
      </c>
      <c r="D22" s="4">
        <v>71.0</v>
      </c>
    </row>
    <row r="23" ht="15.75" customHeight="1">
      <c r="A23" s="3">
        <v>45695.0</v>
      </c>
      <c r="B23" s="4" t="s">
        <v>61</v>
      </c>
      <c r="C23" s="4" t="s">
        <v>62</v>
      </c>
      <c r="D23" s="4">
        <v>18.0</v>
      </c>
    </row>
    <row r="24" ht="15.75" customHeight="1">
      <c r="A24" s="3">
        <v>45665.0</v>
      </c>
      <c r="B24" s="4" t="s">
        <v>132</v>
      </c>
      <c r="C24" s="4" t="s">
        <v>26</v>
      </c>
      <c r="D24" s="4">
        <v>19.0</v>
      </c>
    </row>
    <row r="25" ht="15.75" customHeight="1">
      <c r="A25" s="3">
        <v>45694.0</v>
      </c>
      <c r="B25" s="4" t="s">
        <v>96</v>
      </c>
      <c r="C25" s="4" t="s">
        <v>50</v>
      </c>
      <c r="D25" s="4">
        <v>31.0</v>
      </c>
    </row>
    <row r="26" ht="15.75" customHeight="1">
      <c r="A26" s="3">
        <v>45728.0</v>
      </c>
      <c r="B26" s="4" t="s">
        <v>65</v>
      </c>
      <c r="C26" s="4" t="s">
        <v>5</v>
      </c>
      <c r="D26" s="4">
        <v>29.0</v>
      </c>
    </row>
    <row r="27" ht="15.75" customHeight="1">
      <c r="A27" s="3">
        <v>45715.0</v>
      </c>
      <c r="B27" s="4" t="s">
        <v>17</v>
      </c>
      <c r="C27" s="4" t="s">
        <v>16</v>
      </c>
      <c r="D27" s="4">
        <v>74.0</v>
      </c>
    </row>
    <row r="28" ht="15.75" customHeight="1">
      <c r="A28" s="3">
        <v>45671.0</v>
      </c>
      <c r="B28" s="4" t="s">
        <v>129</v>
      </c>
      <c r="C28" s="4" t="s">
        <v>41</v>
      </c>
      <c r="D28" s="4">
        <v>69.0</v>
      </c>
    </row>
    <row r="29" ht="15.75" customHeight="1">
      <c r="A29" s="3">
        <v>45686.0</v>
      </c>
      <c r="B29" s="4" t="s">
        <v>138</v>
      </c>
      <c r="C29" s="4" t="s">
        <v>85</v>
      </c>
      <c r="D29" s="4">
        <v>4.0</v>
      </c>
    </row>
    <row r="30" ht="15.75" customHeight="1">
      <c r="A30" s="3">
        <v>45680.0</v>
      </c>
      <c r="B30" s="4" t="s">
        <v>108</v>
      </c>
      <c r="C30" s="4" t="s">
        <v>109</v>
      </c>
      <c r="D30" s="4">
        <v>31.0</v>
      </c>
    </row>
    <row r="31" ht="15.75" customHeight="1">
      <c r="A31" s="3">
        <v>45675.0</v>
      </c>
      <c r="B31" s="4" t="s">
        <v>137</v>
      </c>
      <c r="C31" s="4" t="s">
        <v>20</v>
      </c>
      <c r="D31" s="4">
        <v>25.0</v>
      </c>
    </row>
    <row r="32" ht="15.75" customHeight="1">
      <c r="A32" s="3">
        <v>45681.0</v>
      </c>
      <c r="B32" s="4" t="s">
        <v>10</v>
      </c>
      <c r="C32" s="4" t="s">
        <v>8</v>
      </c>
      <c r="D32" s="4">
        <v>48.0</v>
      </c>
    </row>
    <row r="33" ht="15.75" customHeight="1">
      <c r="A33" s="3">
        <v>45746.0</v>
      </c>
      <c r="B33" s="4" t="s">
        <v>104</v>
      </c>
      <c r="C33" s="4" t="s">
        <v>5</v>
      </c>
      <c r="D33" s="4">
        <v>39.0</v>
      </c>
    </row>
    <row r="34" ht="15.75" customHeight="1">
      <c r="A34" s="3">
        <v>45724.0</v>
      </c>
      <c r="B34" s="4" t="s">
        <v>47</v>
      </c>
      <c r="C34" s="4" t="s">
        <v>22</v>
      </c>
      <c r="D34" s="4">
        <v>57.0</v>
      </c>
    </row>
    <row r="35" ht="15.75" customHeight="1">
      <c r="A35" s="3">
        <v>45739.0</v>
      </c>
      <c r="B35" s="4" t="s">
        <v>58</v>
      </c>
      <c r="C35" s="4" t="s">
        <v>24</v>
      </c>
      <c r="D35" s="4">
        <v>17.0</v>
      </c>
    </row>
    <row r="36" ht="15.75" customHeight="1">
      <c r="A36" s="3">
        <v>45676.0</v>
      </c>
      <c r="B36" s="4" t="s">
        <v>35</v>
      </c>
      <c r="C36" s="4" t="s">
        <v>8</v>
      </c>
      <c r="D36" s="4">
        <v>13.0</v>
      </c>
    </row>
    <row r="37" ht="15.75" customHeight="1">
      <c r="A37" s="3">
        <v>45729.0</v>
      </c>
      <c r="B37" s="4" t="s">
        <v>9</v>
      </c>
      <c r="C37" s="4" t="s">
        <v>8</v>
      </c>
      <c r="D37" s="4">
        <v>78.0</v>
      </c>
    </row>
    <row r="38" ht="15.75" customHeight="1">
      <c r="A38" s="3">
        <v>45679.0</v>
      </c>
      <c r="B38" s="4" t="s">
        <v>126</v>
      </c>
      <c r="C38" s="4" t="s">
        <v>26</v>
      </c>
      <c r="D38" s="4">
        <v>55.0</v>
      </c>
    </row>
    <row r="39" ht="15.75" customHeight="1">
      <c r="A39" s="3">
        <v>45718.0</v>
      </c>
      <c r="B39" s="4" t="s">
        <v>117</v>
      </c>
      <c r="C39" s="4" t="s">
        <v>28</v>
      </c>
      <c r="D39" s="4">
        <v>74.0</v>
      </c>
    </row>
    <row r="40" ht="15.75" customHeight="1">
      <c r="A40" s="3">
        <v>45700.0</v>
      </c>
      <c r="B40" s="4" t="s">
        <v>58</v>
      </c>
      <c r="C40" s="4" t="s">
        <v>24</v>
      </c>
      <c r="D40" s="4">
        <v>60.0</v>
      </c>
    </row>
    <row r="41" ht="15.75" customHeight="1">
      <c r="A41" s="3">
        <v>45740.0</v>
      </c>
      <c r="B41" s="4" t="s">
        <v>19</v>
      </c>
      <c r="C41" s="4" t="s">
        <v>20</v>
      </c>
      <c r="D41" s="4">
        <v>74.0</v>
      </c>
    </row>
    <row r="42" ht="15.75" customHeight="1">
      <c r="A42" s="3">
        <v>45730.0</v>
      </c>
      <c r="B42" s="4" t="s">
        <v>101</v>
      </c>
      <c r="C42" s="4" t="s">
        <v>24</v>
      </c>
      <c r="D42" s="4">
        <v>53.0</v>
      </c>
    </row>
    <row r="43" ht="15.75" customHeight="1">
      <c r="A43" s="3">
        <v>45734.0</v>
      </c>
      <c r="B43" s="4" t="s">
        <v>80</v>
      </c>
      <c r="C43" s="4" t="s">
        <v>22</v>
      </c>
      <c r="D43" s="4">
        <v>46.0</v>
      </c>
    </row>
    <row r="44" ht="15.75" customHeight="1">
      <c r="A44" s="3">
        <v>45689.0</v>
      </c>
      <c r="B44" s="4" t="s">
        <v>63</v>
      </c>
      <c r="C44" s="4" t="s">
        <v>26</v>
      </c>
      <c r="D44" s="4">
        <v>61.0</v>
      </c>
    </row>
    <row r="45" ht="15.75" customHeight="1">
      <c r="A45" s="3">
        <v>45693.0</v>
      </c>
      <c r="B45" s="4" t="s">
        <v>68</v>
      </c>
      <c r="C45" s="4" t="s">
        <v>62</v>
      </c>
      <c r="D45" s="4">
        <v>5.0</v>
      </c>
    </row>
    <row r="46" ht="15.75" customHeight="1">
      <c r="A46" s="3">
        <v>45736.0</v>
      </c>
      <c r="B46" s="4" t="s">
        <v>140</v>
      </c>
      <c r="C46" s="4" t="s">
        <v>85</v>
      </c>
      <c r="D46" s="4">
        <v>48.0</v>
      </c>
    </row>
    <row r="47" ht="15.75" customHeight="1">
      <c r="A47" s="3">
        <v>45715.0</v>
      </c>
      <c r="B47" s="4" t="s">
        <v>73</v>
      </c>
      <c r="C47" s="4" t="s">
        <v>13</v>
      </c>
      <c r="D47" s="4">
        <v>23.0</v>
      </c>
    </row>
    <row r="48" ht="15.75" customHeight="1">
      <c r="A48" s="3">
        <v>45672.0</v>
      </c>
      <c r="B48" s="4" t="s">
        <v>129</v>
      </c>
      <c r="C48" s="4" t="s">
        <v>41</v>
      </c>
      <c r="D48" s="4">
        <v>46.0</v>
      </c>
    </row>
    <row r="49" ht="15.75" customHeight="1">
      <c r="A49" s="3">
        <v>45738.0</v>
      </c>
      <c r="B49" s="4" t="s">
        <v>112</v>
      </c>
      <c r="C49" s="4" t="s">
        <v>31</v>
      </c>
      <c r="D49" s="4">
        <v>42.0</v>
      </c>
    </row>
    <row r="50" ht="15.75" customHeight="1">
      <c r="A50" s="3">
        <v>45728.0</v>
      </c>
      <c r="B50" s="4" t="s">
        <v>107</v>
      </c>
      <c r="C50" s="4" t="s">
        <v>24</v>
      </c>
      <c r="D50" s="4">
        <v>4.0</v>
      </c>
    </row>
    <row r="51" ht="15.75" customHeight="1">
      <c r="A51" s="3">
        <v>45745.0</v>
      </c>
      <c r="B51" s="4" t="s">
        <v>78</v>
      </c>
      <c r="C51" s="4" t="s">
        <v>79</v>
      </c>
      <c r="D51" s="4">
        <v>22.0</v>
      </c>
    </row>
    <row r="52" ht="15.75" customHeight="1">
      <c r="A52" s="3">
        <v>45697.0</v>
      </c>
      <c r="B52" s="4" t="s">
        <v>96</v>
      </c>
      <c r="C52" s="4" t="s">
        <v>50</v>
      </c>
      <c r="D52" s="4">
        <v>78.0</v>
      </c>
    </row>
    <row r="53" ht="15.75" customHeight="1">
      <c r="A53" s="3">
        <v>45745.0</v>
      </c>
      <c r="B53" s="4" t="s">
        <v>38</v>
      </c>
      <c r="C53" s="4" t="s">
        <v>39</v>
      </c>
      <c r="D53" s="4">
        <v>35.0</v>
      </c>
    </row>
    <row r="54" ht="15.75" customHeight="1">
      <c r="A54" s="3">
        <v>45685.0</v>
      </c>
      <c r="B54" s="4" t="s">
        <v>108</v>
      </c>
      <c r="C54" s="4" t="s">
        <v>109</v>
      </c>
      <c r="D54" s="4">
        <v>50.0</v>
      </c>
    </row>
    <row r="55" ht="15.75" customHeight="1">
      <c r="A55" s="3">
        <v>45678.0</v>
      </c>
      <c r="B55" s="4" t="s">
        <v>56</v>
      </c>
      <c r="C55" s="4" t="s">
        <v>5</v>
      </c>
      <c r="D55" s="4">
        <v>80.0</v>
      </c>
    </row>
    <row r="56" ht="15.75" customHeight="1">
      <c r="A56" s="3">
        <v>45667.0</v>
      </c>
      <c r="B56" s="4" t="s">
        <v>136</v>
      </c>
      <c r="C56" s="4" t="s">
        <v>79</v>
      </c>
      <c r="D56" s="4">
        <v>16.0</v>
      </c>
    </row>
    <row r="57" ht="15.75" customHeight="1">
      <c r="A57" s="3">
        <v>45707.0</v>
      </c>
      <c r="B57" s="4" t="s">
        <v>102</v>
      </c>
      <c r="C57" s="4" t="s">
        <v>41</v>
      </c>
      <c r="D57" s="4">
        <v>52.0</v>
      </c>
    </row>
    <row r="58" ht="15.75" customHeight="1">
      <c r="A58" s="3">
        <v>45714.0</v>
      </c>
      <c r="B58" s="4" t="s">
        <v>132</v>
      </c>
      <c r="C58" s="4" t="s">
        <v>26</v>
      </c>
      <c r="D58" s="4">
        <v>22.0</v>
      </c>
    </row>
    <row r="59" ht="15.75" customHeight="1">
      <c r="A59" s="3">
        <v>45704.0</v>
      </c>
      <c r="B59" s="4" t="s">
        <v>118</v>
      </c>
      <c r="C59" s="4" t="s">
        <v>52</v>
      </c>
      <c r="D59" s="4">
        <v>25.0</v>
      </c>
    </row>
    <row r="60" ht="15.75" customHeight="1">
      <c r="A60" s="3">
        <v>45724.0</v>
      </c>
      <c r="B60" s="4" t="s">
        <v>10</v>
      </c>
      <c r="C60" s="4" t="s">
        <v>8</v>
      </c>
      <c r="D60" s="4">
        <v>36.0</v>
      </c>
    </row>
    <row r="61" ht="15.75" customHeight="1">
      <c r="A61" s="3">
        <v>45701.0</v>
      </c>
      <c r="B61" s="4" t="s">
        <v>101</v>
      </c>
      <c r="C61" s="4" t="s">
        <v>24</v>
      </c>
      <c r="D61" s="4">
        <v>5.0</v>
      </c>
    </row>
    <row r="62" ht="15.75" customHeight="1">
      <c r="A62" s="3">
        <v>45712.0</v>
      </c>
      <c r="B62" s="4" t="s">
        <v>107</v>
      </c>
      <c r="C62" s="4" t="s">
        <v>24</v>
      </c>
      <c r="D62" s="4">
        <v>70.0</v>
      </c>
    </row>
    <row r="63" ht="15.75" customHeight="1">
      <c r="A63" s="3">
        <v>45746.0</v>
      </c>
      <c r="B63" s="4" t="s">
        <v>124</v>
      </c>
      <c r="C63" s="4" t="s">
        <v>26</v>
      </c>
      <c r="D63" s="4">
        <v>27.0</v>
      </c>
    </row>
    <row r="64" ht="15.75" customHeight="1">
      <c r="A64" s="3">
        <v>45712.0</v>
      </c>
      <c r="B64" s="4" t="s">
        <v>11</v>
      </c>
      <c r="C64" s="4" t="s">
        <v>5</v>
      </c>
      <c r="D64" s="4">
        <v>2.0</v>
      </c>
    </row>
    <row r="65" ht="15.75" customHeight="1">
      <c r="A65" s="3">
        <v>45671.0</v>
      </c>
      <c r="B65" s="4" t="s">
        <v>112</v>
      </c>
      <c r="C65" s="4" t="s">
        <v>31</v>
      </c>
      <c r="D65" s="4">
        <v>28.0</v>
      </c>
    </row>
    <row r="66" ht="15.75" customHeight="1">
      <c r="A66" s="3">
        <v>45717.0</v>
      </c>
      <c r="B66" s="4" t="s">
        <v>45</v>
      </c>
      <c r="C66" s="4" t="s">
        <v>24</v>
      </c>
      <c r="D66" s="4">
        <v>6.0</v>
      </c>
    </row>
    <row r="67" ht="15.75" customHeight="1">
      <c r="A67" s="3">
        <v>45667.0</v>
      </c>
      <c r="B67" s="4" t="s">
        <v>104</v>
      </c>
      <c r="C67" s="4" t="s">
        <v>5</v>
      </c>
      <c r="D67" s="4">
        <v>11.0</v>
      </c>
    </row>
    <row r="68" ht="15.75" customHeight="1">
      <c r="A68" s="3">
        <v>45701.0</v>
      </c>
      <c r="B68" s="4" t="s">
        <v>56</v>
      </c>
      <c r="C68" s="4" t="s">
        <v>5</v>
      </c>
      <c r="D68" s="4">
        <v>26.0</v>
      </c>
    </row>
    <row r="69" ht="15.75" customHeight="1">
      <c r="A69" s="3">
        <v>45710.0</v>
      </c>
      <c r="B69" s="4" t="s">
        <v>122</v>
      </c>
      <c r="C69" s="4" t="s">
        <v>26</v>
      </c>
      <c r="D69" s="4">
        <v>8.0</v>
      </c>
    </row>
    <row r="70" ht="15.75" customHeight="1">
      <c r="A70" s="3">
        <v>45737.0</v>
      </c>
      <c r="B70" s="4" t="s">
        <v>119</v>
      </c>
      <c r="C70" s="4" t="s">
        <v>16</v>
      </c>
      <c r="D70" s="4">
        <v>10.0</v>
      </c>
    </row>
    <row r="71" ht="15.75" customHeight="1">
      <c r="A71" s="3">
        <v>45711.0</v>
      </c>
      <c r="B71" s="4" t="s">
        <v>15</v>
      </c>
      <c r="C71" s="4" t="s">
        <v>16</v>
      </c>
      <c r="D71" s="4">
        <v>43.0</v>
      </c>
    </row>
    <row r="72" ht="15.75" customHeight="1">
      <c r="A72" s="3">
        <v>45745.0</v>
      </c>
      <c r="B72" s="4" t="s">
        <v>113</v>
      </c>
      <c r="C72" s="4" t="s">
        <v>85</v>
      </c>
      <c r="D72" s="4">
        <v>71.0</v>
      </c>
    </row>
    <row r="73" ht="15.75" customHeight="1">
      <c r="A73" s="3">
        <v>45685.0</v>
      </c>
      <c r="B73" s="4" t="s">
        <v>9</v>
      </c>
      <c r="C73" s="4" t="s">
        <v>8</v>
      </c>
      <c r="D73" s="4">
        <v>22.0</v>
      </c>
    </row>
    <row r="74" ht="15.75" customHeight="1">
      <c r="A74" s="3">
        <v>45744.0</v>
      </c>
      <c r="B74" s="4" t="s">
        <v>67</v>
      </c>
      <c r="C74" s="4" t="s">
        <v>39</v>
      </c>
      <c r="D74" s="4">
        <v>35.0</v>
      </c>
    </row>
    <row r="75" ht="15.75" customHeight="1">
      <c r="A75" s="3">
        <v>45744.0</v>
      </c>
      <c r="B75" s="4" t="s">
        <v>81</v>
      </c>
      <c r="C75" s="4" t="s">
        <v>82</v>
      </c>
      <c r="D75" s="4">
        <v>12.0</v>
      </c>
    </row>
    <row r="76" ht="15.75" customHeight="1">
      <c r="A76" s="3">
        <v>45725.0</v>
      </c>
      <c r="B76" s="4" t="s">
        <v>97</v>
      </c>
      <c r="C76" s="4" t="s">
        <v>52</v>
      </c>
      <c r="D76" s="4">
        <v>57.0</v>
      </c>
    </row>
    <row r="77" ht="15.75" customHeight="1">
      <c r="A77" s="3">
        <v>45702.0</v>
      </c>
      <c r="B77" s="4" t="s">
        <v>30</v>
      </c>
      <c r="C77" s="4" t="s">
        <v>31</v>
      </c>
      <c r="D77" s="4">
        <v>38.0</v>
      </c>
    </row>
    <row r="78" ht="15.75" customHeight="1">
      <c r="A78" s="3">
        <v>45698.0</v>
      </c>
      <c r="B78" s="4" t="s">
        <v>77</v>
      </c>
      <c r="C78" s="4" t="s">
        <v>50</v>
      </c>
      <c r="D78" s="4">
        <v>72.0</v>
      </c>
    </row>
    <row r="79" ht="15.75" customHeight="1">
      <c r="A79" s="3">
        <v>45657.0</v>
      </c>
      <c r="B79" s="4" t="s">
        <v>9</v>
      </c>
      <c r="C79" s="4" t="s">
        <v>8</v>
      </c>
      <c r="D79" s="4">
        <v>32.0</v>
      </c>
    </row>
    <row r="80" ht="15.75" customHeight="1">
      <c r="A80" s="3">
        <v>45687.0</v>
      </c>
      <c r="B80" s="4" t="s">
        <v>103</v>
      </c>
      <c r="C80" s="4" t="s">
        <v>26</v>
      </c>
      <c r="D80" s="4">
        <v>21.0</v>
      </c>
    </row>
    <row r="81" ht="15.75" customHeight="1">
      <c r="A81" s="3">
        <v>45711.0</v>
      </c>
      <c r="B81" s="4" t="s">
        <v>46</v>
      </c>
      <c r="C81" s="4" t="s">
        <v>20</v>
      </c>
      <c r="D81" s="4">
        <v>35.0</v>
      </c>
    </row>
    <row r="82" ht="15.75" customHeight="1">
      <c r="A82" s="3">
        <v>45688.0</v>
      </c>
      <c r="B82" s="4" t="s">
        <v>38</v>
      </c>
      <c r="C82" s="4" t="s">
        <v>39</v>
      </c>
      <c r="D82" s="4">
        <v>46.0</v>
      </c>
    </row>
    <row r="83" ht="15.75" customHeight="1">
      <c r="A83" s="3">
        <v>45746.0</v>
      </c>
      <c r="B83" s="4" t="s">
        <v>88</v>
      </c>
      <c r="C83" s="4" t="s">
        <v>75</v>
      </c>
      <c r="D83" s="4">
        <v>44.0</v>
      </c>
    </row>
    <row r="84" ht="15.75" customHeight="1">
      <c r="A84" s="3">
        <v>45733.0</v>
      </c>
      <c r="B84" s="4" t="s">
        <v>122</v>
      </c>
      <c r="C84" s="4" t="s">
        <v>26</v>
      </c>
      <c r="D84" s="4">
        <v>26.0</v>
      </c>
    </row>
    <row r="85" ht="15.75" customHeight="1">
      <c r="A85" s="3">
        <v>45704.0</v>
      </c>
      <c r="B85" s="4" t="s">
        <v>134</v>
      </c>
      <c r="C85" s="4" t="s">
        <v>85</v>
      </c>
      <c r="D85" s="4">
        <v>23.0</v>
      </c>
    </row>
    <row r="86" ht="15.75" customHeight="1">
      <c r="A86" s="3">
        <v>45742.0</v>
      </c>
      <c r="B86" s="4" t="s">
        <v>93</v>
      </c>
      <c r="C86" s="4" t="s">
        <v>82</v>
      </c>
      <c r="D86" s="4">
        <v>27.0</v>
      </c>
    </row>
    <row r="87" ht="15.75" customHeight="1">
      <c r="A87" s="3">
        <v>45721.0</v>
      </c>
      <c r="B87" s="4" t="s">
        <v>29</v>
      </c>
      <c r="C87" s="4" t="s">
        <v>16</v>
      </c>
      <c r="D87" s="4">
        <v>65.0</v>
      </c>
    </row>
    <row r="88" ht="15.75" customHeight="1">
      <c r="A88" s="3">
        <v>45667.0</v>
      </c>
      <c r="B88" s="4" t="s">
        <v>63</v>
      </c>
      <c r="C88" s="4" t="s">
        <v>26</v>
      </c>
      <c r="D88" s="4">
        <v>34.0</v>
      </c>
    </row>
    <row r="89" ht="15.75" customHeight="1">
      <c r="A89" s="3">
        <v>45725.0</v>
      </c>
      <c r="B89" s="4" t="s">
        <v>68</v>
      </c>
      <c r="C89" s="4" t="s">
        <v>62</v>
      </c>
      <c r="D89" s="4">
        <v>35.0</v>
      </c>
    </row>
    <row r="90" ht="15.75" customHeight="1">
      <c r="A90" s="3">
        <v>45688.0</v>
      </c>
      <c r="B90" s="4" t="s">
        <v>64</v>
      </c>
      <c r="C90" s="4" t="s">
        <v>41</v>
      </c>
      <c r="D90" s="4">
        <v>68.0</v>
      </c>
    </row>
    <row r="91" ht="15.75" customHeight="1">
      <c r="A91" s="3">
        <v>45675.0</v>
      </c>
      <c r="B91" s="4" t="s">
        <v>83</v>
      </c>
      <c r="C91" s="4" t="s">
        <v>5</v>
      </c>
      <c r="D91" s="4">
        <v>57.0</v>
      </c>
    </row>
    <row r="92" ht="15.75" customHeight="1">
      <c r="A92" s="3">
        <v>45726.0</v>
      </c>
      <c r="B92" s="4" t="s">
        <v>134</v>
      </c>
      <c r="C92" s="4" t="s">
        <v>85</v>
      </c>
      <c r="D92" s="4">
        <v>8.0</v>
      </c>
    </row>
    <row r="93" ht="15.75" customHeight="1">
      <c r="A93" s="3">
        <v>45732.0</v>
      </c>
      <c r="B93" s="4" t="s">
        <v>77</v>
      </c>
      <c r="C93" s="4" t="s">
        <v>50</v>
      </c>
      <c r="D93" s="4">
        <v>60.0</v>
      </c>
    </row>
    <row r="94" ht="15.75" customHeight="1">
      <c r="A94" s="3">
        <v>45674.0</v>
      </c>
      <c r="B94" s="4" t="s">
        <v>19</v>
      </c>
      <c r="C94" s="4" t="s">
        <v>20</v>
      </c>
      <c r="D94" s="4">
        <v>74.0</v>
      </c>
    </row>
    <row r="95" ht="15.75" customHeight="1">
      <c r="A95" s="3">
        <v>45671.0</v>
      </c>
      <c r="B95" s="4" t="s">
        <v>66</v>
      </c>
      <c r="C95" s="4" t="s">
        <v>52</v>
      </c>
      <c r="D95" s="4">
        <v>76.0</v>
      </c>
    </row>
    <row r="96" ht="15.75" customHeight="1">
      <c r="A96" s="3">
        <v>45711.0</v>
      </c>
      <c r="B96" s="4" t="s">
        <v>59</v>
      </c>
      <c r="C96" s="4" t="s">
        <v>16</v>
      </c>
      <c r="D96" s="4">
        <v>10.0</v>
      </c>
    </row>
    <row r="97" ht="15.75" customHeight="1">
      <c r="A97" s="3">
        <v>45702.0</v>
      </c>
      <c r="B97" s="4" t="s">
        <v>71</v>
      </c>
      <c r="C97" s="4" t="s">
        <v>20</v>
      </c>
      <c r="D97" s="4">
        <v>13.0</v>
      </c>
    </row>
    <row r="98" ht="15.75" customHeight="1">
      <c r="A98" s="3">
        <v>45744.0</v>
      </c>
      <c r="B98" s="4" t="s">
        <v>4</v>
      </c>
      <c r="C98" s="4" t="s">
        <v>5</v>
      </c>
      <c r="D98" s="4">
        <v>58.0</v>
      </c>
    </row>
    <row r="99" ht="15.75" customHeight="1">
      <c r="A99" s="3">
        <v>45735.0</v>
      </c>
      <c r="B99" s="4" t="s">
        <v>87</v>
      </c>
      <c r="C99" s="4" t="s">
        <v>39</v>
      </c>
      <c r="D99" s="4">
        <v>34.0</v>
      </c>
    </row>
    <row r="100" ht="15.75" customHeight="1">
      <c r="A100" s="3">
        <v>45687.0</v>
      </c>
      <c r="B100" s="4" t="s">
        <v>25</v>
      </c>
      <c r="C100" s="4" t="s">
        <v>26</v>
      </c>
      <c r="D100" s="4">
        <v>23.0</v>
      </c>
    </row>
    <row r="101" ht="15.75" customHeight="1">
      <c r="A101" s="3">
        <v>45717.0</v>
      </c>
      <c r="B101" s="4" t="s">
        <v>93</v>
      </c>
      <c r="C101" s="4" t="s">
        <v>82</v>
      </c>
      <c r="D101" s="4">
        <v>63.0</v>
      </c>
    </row>
    <row r="102" ht="15.75" customHeight="1">
      <c r="A102" s="3">
        <v>45738.0</v>
      </c>
      <c r="B102" s="4" t="s">
        <v>59</v>
      </c>
      <c r="C102" s="4" t="s">
        <v>16</v>
      </c>
      <c r="D102" s="4">
        <v>69.0</v>
      </c>
    </row>
    <row r="103" ht="15.75" customHeight="1">
      <c r="A103" s="3">
        <v>45664.0</v>
      </c>
      <c r="B103" s="4" t="s">
        <v>66</v>
      </c>
      <c r="C103" s="4" t="s">
        <v>52</v>
      </c>
      <c r="D103" s="4">
        <v>74.0</v>
      </c>
    </row>
    <row r="104" ht="15.75" customHeight="1">
      <c r="A104" s="3">
        <v>45716.0</v>
      </c>
      <c r="B104" s="4" t="s">
        <v>90</v>
      </c>
      <c r="C104" s="4" t="s">
        <v>39</v>
      </c>
      <c r="D104" s="4">
        <v>5.0</v>
      </c>
    </row>
    <row r="105" ht="15.75" customHeight="1">
      <c r="A105" s="3">
        <v>45661.0</v>
      </c>
      <c r="B105" s="4" t="s">
        <v>68</v>
      </c>
      <c r="C105" s="4" t="s">
        <v>62</v>
      </c>
      <c r="D105" s="4">
        <v>27.0</v>
      </c>
    </row>
    <row r="106" ht="15.75" customHeight="1">
      <c r="A106" s="3">
        <v>45704.0</v>
      </c>
      <c r="B106" s="4" t="s">
        <v>133</v>
      </c>
      <c r="C106" s="4" t="s">
        <v>24</v>
      </c>
      <c r="D106" s="4">
        <v>6.0</v>
      </c>
    </row>
    <row r="107" ht="15.75" customHeight="1">
      <c r="A107" s="3">
        <v>45731.0</v>
      </c>
      <c r="B107" s="4" t="s">
        <v>124</v>
      </c>
      <c r="C107" s="4" t="s">
        <v>26</v>
      </c>
      <c r="D107" s="4">
        <v>63.0</v>
      </c>
    </row>
    <row r="108" ht="15.75" customHeight="1">
      <c r="A108" s="3">
        <v>45671.0</v>
      </c>
      <c r="B108" s="4" t="s">
        <v>108</v>
      </c>
      <c r="C108" s="4" t="s">
        <v>109</v>
      </c>
      <c r="D108" s="4">
        <v>53.0</v>
      </c>
    </row>
    <row r="109" ht="15.75" customHeight="1">
      <c r="A109" s="3">
        <v>45700.0</v>
      </c>
      <c r="B109" s="4" t="s">
        <v>115</v>
      </c>
      <c r="C109" s="4" t="s">
        <v>50</v>
      </c>
      <c r="D109" s="4">
        <v>55.0</v>
      </c>
    </row>
    <row r="110" ht="15.75" customHeight="1">
      <c r="A110" s="3">
        <v>45732.0</v>
      </c>
      <c r="B110" s="4" t="s">
        <v>138</v>
      </c>
      <c r="C110" s="4" t="s">
        <v>85</v>
      </c>
      <c r="D110" s="4">
        <v>23.0</v>
      </c>
    </row>
    <row r="111" ht="15.75" customHeight="1">
      <c r="A111" s="3">
        <v>45658.0</v>
      </c>
      <c r="B111" s="4" t="s">
        <v>113</v>
      </c>
      <c r="C111" s="4" t="s">
        <v>85</v>
      </c>
      <c r="D111" s="4">
        <v>37.0</v>
      </c>
    </row>
    <row r="112" ht="15.75" customHeight="1">
      <c r="A112" s="3">
        <v>45686.0</v>
      </c>
      <c r="B112" s="4" t="s">
        <v>118</v>
      </c>
      <c r="C112" s="4" t="s">
        <v>52</v>
      </c>
      <c r="D112" s="4">
        <v>70.0</v>
      </c>
    </row>
    <row r="113" ht="15.75" customHeight="1">
      <c r="A113" s="3">
        <v>45696.0</v>
      </c>
      <c r="B113" s="4" t="s">
        <v>104</v>
      </c>
      <c r="C113" s="4" t="s">
        <v>5</v>
      </c>
      <c r="D113" s="4">
        <v>14.0</v>
      </c>
    </row>
    <row r="114" ht="15.75" customHeight="1">
      <c r="A114" s="3">
        <v>45720.0</v>
      </c>
      <c r="B114" s="4" t="s">
        <v>48</v>
      </c>
      <c r="C114" s="4" t="s">
        <v>22</v>
      </c>
      <c r="D114" s="4">
        <v>35.0</v>
      </c>
    </row>
    <row r="115" ht="15.75" customHeight="1">
      <c r="A115" s="3">
        <v>45687.0</v>
      </c>
      <c r="B115" s="4" t="s">
        <v>140</v>
      </c>
      <c r="C115" s="4" t="s">
        <v>85</v>
      </c>
      <c r="D115" s="4">
        <v>51.0</v>
      </c>
    </row>
    <row r="116" ht="15.75" customHeight="1">
      <c r="A116" s="3">
        <v>45739.0</v>
      </c>
      <c r="B116" s="4" t="s">
        <v>83</v>
      </c>
      <c r="C116" s="4" t="s">
        <v>5</v>
      </c>
      <c r="D116" s="4">
        <v>18.0</v>
      </c>
    </row>
    <row r="117" ht="15.75" customHeight="1">
      <c r="A117" s="3">
        <v>45735.0</v>
      </c>
      <c r="B117" s="4" t="s">
        <v>81</v>
      </c>
      <c r="C117" s="4" t="s">
        <v>82</v>
      </c>
      <c r="D117" s="4">
        <v>57.0</v>
      </c>
    </row>
    <row r="118" ht="15.75" customHeight="1">
      <c r="A118" s="3">
        <v>45706.0</v>
      </c>
      <c r="B118" s="4" t="s">
        <v>139</v>
      </c>
      <c r="C118" s="4" t="s">
        <v>109</v>
      </c>
      <c r="D118" s="4">
        <v>42.0</v>
      </c>
    </row>
    <row r="119" ht="15.75" customHeight="1">
      <c r="A119" s="3">
        <v>45664.0</v>
      </c>
      <c r="B119" s="4" t="s">
        <v>110</v>
      </c>
      <c r="C119" s="4" t="s">
        <v>8</v>
      </c>
      <c r="D119" s="4">
        <v>12.0</v>
      </c>
    </row>
    <row r="120" ht="15.75" customHeight="1">
      <c r="A120" s="3">
        <v>45680.0</v>
      </c>
      <c r="B120" s="4" t="s">
        <v>51</v>
      </c>
      <c r="C120" s="4" t="s">
        <v>52</v>
      </c>
      <c r="D120" s="4">
        <v>33.0</v>
      </c>
    </row>
    <row r="121" ht="15.75" customHeight="1">
      <c r="A121" s="3">
        <v>45689.0</v>
      </c>
      <c r="B121" s="4" t="s">
        <v>127</v>
      </c>
      <c r="C121" s="4" t="s">
        <v>22</v>
      </c>
      <c r="D121" s="4">
        <v>44.0</v>
      </c>
    </row>
    <row r="122" ht="15.75" customHeight="1">
      <c r="A122" s="3">
        <v>45730.0</v>
      </c>
      <c r="B122" s="4" t="s">
        <v>66</v>
      </c>
      <c r="C122" s="4" t="s">
        <v>52</v>
      </c>
      <c r="D122" s="4">
        <v>70.0</v>
      </c>
    </row>
    <row r="123" ht="15.75" customHeight="1">
      <c r="A123" s="3">
        <v>45698.0</v>
      </c>
      <c r="B123" s="4" t="s">
        <v>12</v>
      </c>
      <c r="C123" s="4" t="s">
        <v>13</v>
      </c>
      <c r="D123" s="4">
        <v>63.0</v>
      </c>
    </row>
    <row r="124" ht="15.75" customHeight="1">
      <c r="A124" s="3">
        <v>45669.0</v>
      </c>
      <c r="B124" s="4" t="s">
        <v>73</v>
      </c>
      <c r="C124" s="4" t="s">
        <v>13</v>
      </c>
      <c r="D124" s="4">
        <v>2.0</v>
      </c>
    </row>
    <row r="125" ht="15.75" customHeight="1">
      <c r="A125" s="3">
        <v>45673.0</v>
      </c>
      <c r="B125" s="4" t="s">
        <v>68</v>
      </c>
      <c r="C125" s="4" t="s">
        <v>62</v>
      </c>
      <c r="D125" s="4">
        <v>40.0</v>
      </c>
    </row>
    <row r="126" ht="15.75" customHeight="1">
      <c r="A126" s="3">
        <v>45684.0</v>
      </c>
      <c r="B126" s="4" t="s">
        <v>130</v>
      </c>
      <c r="C126" s="4" t="s">
        <v>52</v>
      </c>
      <c r="D126" s="4">
        <v>39.0</v>
      </c>
    </row>
    <row r="127" ht="15.75" customHeight="1">
      <c r="A127" s="3">
        <v>45680.0</v>
      </c>
      <c r="B127" s="4" t="s">
        <v>67</v>
      </c>
      <c r="C127" s="4" t="s">
        <v>39</v>
      </c>
      <c r="D127" s="4">
        <v>80.0</v>
      </c>
    </row>
    <row r="128" ht="15.75" customHeight="1">
      <c r="A128" s="3">
        <v>45738.0</v>
      </c>
      <c r="B128" s="4" t="s">
        <v>110</v>
      </c>
      <c r="C128" s="4" t="s">
        <v>8</v>
      </c>
      <c r="D128" s="4">
        <v>3.0</v>
      </c>
    </row>
    <row r="129" ht="15.75" customHeight="1">
      <c r="A129" s="3">
        <v>45661.0</v>
      </c>
      <c r="B129" s="4" t="s">
        <v>108</v>
      </c>
      <c r="C129" s="4" t="s">
        <v>109</v>
      </c>
      <c r="D129" s="4">
        <v>37.0</v>
      </c>
    </row>
    <row r="130" ht="15.75" customHeight="1">
      <c r="A130" s="3">
        <v>45728.0</v>
      </c>
      <c r="B130" s="4" t="s">
        <v>42</v>
      </c>
      <c r="C130" s="4" t="s">
        <v>24</v>
      </c>
      <c r="D130" s="4">
        <v>58.0</v>
      </c>
    </row>
    <row r="131" ht="15.75" customHeight="1">
      <c r="A131" s="3">
        <v>45661.0</v>
      </c>
      <c r="B131" s="4" t="s">
        <v>17</v>
      </c>
      <c r="C131" s="4" t="s">
        <v>16</v>
      </c>
      <c r="D131" s="4">
        <v>9.0</v>
      </c>
    </row>
    <row r="132" ht="15.75" customHeight="1">
      <c r="A132" s="3">
        <v>45685.0</v>
      </c>
      <c r="B132" s="4" t="s">
        <v>70</v>
      </c>
      <c r="C132" s="4" t="s">
        <v>52</v>
      </c>
      <c r="D132" s="4">
        <v>23.0</v>
      </c>
    </row>
    <row r="133" ht="15.75" customHeight="1">
      <c r="A133" s="3">
        <v>45697.0</v>
      </c>
      <c r="B133" s="4" t="s">
        <v>45</v>
      </c>
      <c r="C133" s="4" t="s">
        <v>24</v>
      </c>
      <c r="D133" s="4">
        <v>7.0</v>
      </c>
    </row>
    <row r="134" ht="15.75" customHeight="1">
      <c r="A134" s="3">
        <v>45740.0</v>
      </c>
      <c r="B134" s="4" t="s">
        <v>59</v>
      </c>
      <c r="C134" s="4" t="s">
        <v>16</v>
      </c>
      <c r="D134" s="4">
        <v>38.0</v>
      </c>
    </row>
    <row r="135" ht="15.75" customHeight="1">
      <c r="A135" s="3">
        <v>45712.0</v>
      </c>
      <c r="B135" s="4" t="s">
        <v>45</v>
      </c>
      <c r="C135" s="4" t="s">
        <v>24</v>
      </c>
      <c r="D135" s="4">
        <v>56.0</v>
      </c>
    </row>
    <row r="136" ht="15.75" customHeight="1">
      <c r="A136" s="3">
        <v>45735.0</v>
      </c>
      <c r="B136" s="4" t="s">
        <v>128</v>
      </c>
      <c r="C136" s="4" t="s">
        <v>82</v>
      </c>
      <c r="D136" s="4">
        <v>4.0</v>
      </c>
    </row>
    <row r="137" ht="15.75" customHeight="1">
      <c r="A137" s="3">
        <v>45689.0</v>
      </c>
      <c r="B137" s="4" t="s">
        <v>133</v>
      </c>
      <c r="C137" s="4" t="s">
        <v>24</v>
      </c>
      <c r="D137" s="4">
        <v>79.0</v>
      </c>
    </row>
    <row r="138" ht="15.75" customHeight="1">
      <c r="A138" s="3">
        <v>45698.0</v>
      </c>
      <c r="B138" s="4" t="s">
        <v>140</v>
      </c>
      <c r="C138" s="4" t="s">
        <v>85</v>
      </c>
      <c r="D138" s="4">
        <v>1.0</v>
      </c>
    </row>
    <row r="139" ht="15.75" customHeight="1">
      <c r="A139" s="3">
        <v>45664.0</v>
      </c>
      <c r="B139" s="4" t="s">
        <v>130</v>
      </c>
      <c r="C139" s="4" t="s">
        <v>52</v>
      </c>
      <c r="D139" s="4">
        <v>27.0</v>
      </c>
    </row>
    <row r="140" ht="15.75" customHeight="1">
      <c r="A140" s="3">
        <v>45722.0</v>
      </c>
      <c r="B140" s="4" t="s">
        <v>96</v>
      </c>
      <c r="C140" s="4" t="s">
        <v>50</v>
      </c>
      <c r="D140" s="4">
        <v>49.0</v>
      </c>
    </row>
    <row r="141" ht="15.75" customHeight="1">
      <c r="A141" s="3">
        <v>45715.0</v>
      </c>
      <c r="B141" s="4" t="s">
        <v>129</v>
      </c>
      <c r="C141" s="4" t="s">
        <v>41</v>
      </c>
      <c r="D141" s="4">
        <v>2.0</v>
      </c>
    </row>
    <row r="142" ht="15.75" customHeight="1">
      <c r="A142" s="3">
        <v>45725.0</v>
      </c>
      <c r="B142" s="4" t="s">
        <v>48</v>
      </c>
      <c r="C142" s="4" t="s">
        <v>22</v>
      </c>
      <c r="D142" s="4">
        <v>33.0</v>
      </c>
    </row>
    <row r="143" ht="15.75" customHeight="1">
      <c r="A143" s="3">
        <v>45679.0</v>
      </c>
      <c r="B143" s="4" t="s">
        <v>106</v>
      </c>
      <c r="C143" s="4" t="s">
        <v>50</v>
      </c>
      <c r="D143" s="4">
        <v>17.0</v>
      </c>
    </row>
    <row r="144" ht="15.75" customHeight="1">
      <c r="A144" s="3">
        <v>45667.0</v>
      </c>
      <c r="B144" s="4" t="s">
        <v>4</v>
      </c>
      <c r="C144" s="4" t="s">
        <v>5</v>
      </c>
      <c r="D144" s="4">
        <v>80.0</v>
      </c>
    </row>
    <row r="145" ht="15.75" customHeight="1">
      <c r="A145" s="3">
        <v>45685.0</v>
      </c>
      <c r="B145" s="4" t="s">
        <v>118</v>
      </c>
      <c r="C145" s="4" t="s">
        <v>52</v>
      </c>
      <c r="D145" s="4">
        <v>35.0</v>
      </c>
    </row>
    <row r="146" ht="15.75" customHeight="1">
      <c r="A146" s="3">
        <v>45701.0</v>
      </c>
      <c r="B146" s="4" t="s">
        <v>135</v>
      </c>
      <c r="C146" s="4" t="s">
        <v>62</v>
      </c>
      <c r="D146" s="4">
        <v>24.0</v>
      </c>
    </row>
    <row r="147" ht="15.75" customHeight="1">
      <c r="A147" s="3">
        <v>45713.0</v>
      </c>
      <c r="B147" s="4" t="s">
        <v>56</v>
      </c>
      <c r="C147" s="4" t="s">
        <v>5</v>
      </c>
      <c r="D147" s="4">
        <v>30.0</v>
      </c>
    </row>
    <row r="148" ht="15.75" customHeight="1">
      <c r="A148" s="3">
        <v>45738.0</v>
      </c>
      <c r="B148" s="4" t="s">
        <v>96</v>
      </c>
      <c r="C148" s="4" t="s">
        <v>50</v>
      </c>
      <c r="D148" s="4">
        <v>1.0</v>
      </c>
    </row>
    <row r="149" ht="15.75" customHeight="1">
      <c r="A149" s="3">
        <v>45703.0</v>
      </c>
      <c r="B149" s="4" t="s">
        <v>70</v>
      </c>
      <c r="C149" s="4" t="s">
        <v>52</v>
      </c>
      <c r="D149" s="4">
        <v>23.0</v>
      </c>
    </row>
    <row r="150" ht="15.75" customHeight="1">
      <c r="A150" s="3">
        <v>45709.0</v>
      </c>
      <c r="B150" s="4" t="s">
        <v>124</v>
      </c>
      <c r="C150" s="4" t="s">
        <v>26</v>
      </c>
      <c r="D150" s="4">
        <v>20.0</v>
      </c>
    </row>
    <row r="151" ht="15.75" customHeight="1">
      <c r="A151" s="3">
        <v>45691.0</v>
      </c>
      <c r="B151" s="4" t="s">
        <v>63</v>
      </c>
      <c r="C151" s="4" t="s">
        <v>26</v>
      </c>
      <c r="D151" s="4">
        <v>51.0</v>
      </c>
    </row>
    <row r="152" ht="15.75" customHeight="1">
      <c r="A152" s="3">
        <v>45670.0</v>
      </c>
      <c r="B152" s="4" t="s">
        <v>118</v>
      </c>
      <c r="C152" s="4" t="s">
        <v>52</v>
      </c>
      <c r="D152" s="4">
        <v>50.0</v>
      </c>
    </row>
    <row r="153" ht="15.75" customHeight="1">
      <c r="A153" s="3">
        <v>45745.0</v>
      </c>
      <c r="B153" s="4" t="s">
        <v>139</v>
      </c>
      <c r="C153" s="4" t="s">
        <v>109</v>
      </c>
      <c r="D153" s="4">
        <v>27.0</v>
      </c>
    </row>
    <row r="154" ht="15.75" customHeight="1">
      <c r="A154" s="3">
        <v>45694.0</v>
      </c>
      <c r="B154" s="4" t="s">
        <v>65</v>
      </c>
      <c r="C154" s="4" t="s">
        <v>5</v>
      </c>
      <c r="D154" s="4">
        <v>10.0</v>
      </c>
    </row>
    <row r="155" ht="15.75" customHeight="1">
      <c r="A155" s="3">
        <v>45731.0</v>
      </c>
      <c r="B155" s="4" t="s">
        <v>117</v>
      </c>
      <c r="C155" s="4" t="s">
        <v>28</v>
      </c>
      <c r="D155" s="4">
        <v>53.0</v>
      </c>
    </row>
    <row r="156" ht="15.75" customHeight="1">
      <c r="A156" s="3">
        <v>45716.0</v>
      </c>
      <c r="B156" s="4" t="s">
        <v>97</v>
      </c>
      <c r="C156" s="4" t="s">
        <v>52</v>
      </c>
      <c r="D156" s="4">
        <v>63.0</v>
      </c>
    </row>
    <row r="157" ht="15.75" customHeight="1">
      <c r="A157" s="3">
        <v>45707.0</v>
      </c>
      <c r="B157" s="4" t="s">
        <v>104</v>
      </c>
      <c r="C157" s="4" t="s">
        <v>5</v>
      </c>
      <c r="D157" s="4">
        <v>27.0</v>
      </c>
    </row>
    <row r="158" ht="15.75" customHeight="1">
      <c r="A158" s="3">
        <v>45666.0</v>
      </c>
      <c r="B158" s="4" t="s">
        <v>63</v>
      </c>
      <c r="C158" s="4" t="s">
        <v>26</v>
      </c>
      <c r="D158" s="4">
        <v>75.0</v>
      </c>
    </row>
    <row r="159" ht="15.75" customHeight="1">
      <c r="A159" s="3">
        <v>45685.0</v>
      </c>
      <c r="B159" s="4" t="s">
        <v>74</v>
      </c>
      <c r="C159" s="4" t="s">
        <v>75</v>
      </c>
      <c r="D159" s="4">
        <v>54.0</v>
      </c>
    </row>
    <row r="160" ht="15.75" customHeight="1">
      <c r="A160" s="3">
        <v>45692.0</v>
      </c>
      <c r="B160" s="4" t="s">
        <v>10</v>
      </c>
      <c r="C160" s="4" t="s">
        <v>8</v>
      </c>
      <c r="D160" s="4">
        <v>34.0</v>
      </c>
    </row>
    <row r="161" ht="15.75" customHeight="1">
      <c r="A161" s="3">
        <v>45666.0</v>
      </c>
      <c r="B161" s="4" t="s">
        <v>88</v>
      </c>
      <c r="C161" s="4" t="s">
        <v>75</v>
      </c>
      <c r="D161" s="4">
        <v>64.0</v>
      </c>
    </row>
    <row r="162" ht="15.75" customHeight="1">
      <c r="A162" s="3">
        <v>45667.0</v>
      </c>
      <c r="B162" s="4" t="s">
        <v>105</v>
      </c>
      <c r="C162" s="4" t="s">
        <v>79</v>
      </c>
      <c r="D162" s="4">
        <v>15.0</v>
      </c>
    </row>
    <row r="163" ht="15.75" customHeight="1">
      <c r="A163" s="3">
        <v>45742.0</v>
      </c>
      <c r="B163" s="4" t="s">
        <v>53</v>
      </c>
      <c r="C163" s="4" t="s">
        <v>50</v>
      </c>
      <c r="D163" s="4">
        <v>45.0</v>
      </c>
    </row>
    <row r="164" ht="15.75" customHeight="1">
      <c r="A164" s="3">
        <v>45667.0</v>
      </c>
      <c r="B164" s="4" t="s">
        <v>69</v>
      </c>
      <c r="C164" s="4" t="s">
        <v>24</v>
      </c>
      <c r="D164" s="4">
        <v>74.0</v>
      </c>
    </row>
    <row r="165" ht="15.75" customHeight="1">
      <c r="A165" s="3">
        <v>45688.0</v>
      </c>
      <c r="B165" s="4" t="s">
        <v>49</v>
      </c>
      <c r="C165" s="4" t="s">
        <v>50</v>
      </c>
      <c r="D165" s="4">
        <v>40.0</v>
      </c>
    </row>
    <row r="166" ht="15.75" customHeight="1">
      <c r="A166" s="3">
        <v>45727.0</v>
      </c>
      <c r="B166" s="4" t="s">
        <v>55</v>
      </c>
      <c r="C166" s="4" t="s">
        <v>24</v>
      </c>
      <c r="D166" s="4">
        <v>2.0</v>
      </c>
    </row>
    <row r="167" ht="15.75" customHeight="1">
      <c r="A167" s="3">
        <v>45711.0</v>
      </c>
      <c r="B167" s="4" t="s">
        <v>71</v>
      </c>
      <c r="C167" s="4" t="s">
        <v>20</v>
      </c>
      <c r="D167" s="4">
        <v>41.0</v>
      </c>
    </row>
    <row r="168" ht="15.75" customHeight="1">
      <c r="A168" s="3">
        <v>45738.0</v>
      </c>
      <c r="B168" s="4" t="s">
        <v>17</v>
      </c>
      <c r="C168" s="4" t="s">
        <v>16</v>
      </c>
      <c r="D168" s="4">
        <v>57.0</v>
      </c>
    </row>
    <row r="169" ht="15.75" customHeight="1">
      <c r="A169" s="3">
        <v>45718.0</v>
      </c>
      <c r="B169" s="4" t="s">
        <v>19</v>
      </c>
      <c r="C169" s="4" t="s">
        <v>20</v>
      </c>
      <c r="D169" s="4">
        <v>33.0</v>
      </c>
    </row>
    <row r="170" ht="15.75" customHeight="1">
      <c r="A170" s="3">
        <v>45696.0</v>
      </c>
      <c r="B170" s="4" t="s">
        <v>19</v>
      </c>
      <c r="C170" s="4" t="s">
        <v>20</v>
      </c>
      <c r="D170" s="4">
        <v>63.0</v>
      </c>
    </row>
    <row r="171" ht="15.75" customHeight="1">
      <c r="A171" s="3">
        <v>45678.0</v>
      </c>
      <c r="B171" s="4" t="s">
        <v>111</v>
      </c>
      <c r="C171" s="4" t="s">
        <v>109</v>
      </c>
      <c r="D171" s="4">
        <v>56.0</v>
      </c>
    </row>
    <row r="172" ht="15.75" customHeight="1">
      <c r="A172" s="3">
        <v>45678.0</v>
      </c>
      <c r="B172" s="4" t="s">
        <v>18</v>
      </c>
      <c r="C172" s="4" t="s">
        <v>13</v>
      </c>
      <c r="D172" s="4">
        <v>64.0</v>
      </c>
    </row>
    <row r="173" ht="15.75" customHeight="1">
      <c r="A173" s="3">
        <v>45701.0</v>
      </c>
      <c r="B173" s="4" t="s">
        <v>72</v>
      </c>
      <c r="C173" s="4" t="s">
        <v>13</v>
      </c>
      <c r="D173" s="4">
        <v>75.0</v>
      </c>
    </row>
    <row r="174" ht="15.75" customHeight="1">
      <c r="A174" s="3">
        <v>45691.0</v>
      </c>
      <c r="B174" s="4" t="s">
        <v>101</v>
      </c>
      <c r="C174" s="4" t="s">
        <v>24</v>
      </c>
      <c r="D174" s="4">
        <v>63.0</v>
      </c>
    </row>
    <row r="175" ht="15.75" customHeight="1">
      <c r="A175" s="3">
        <v>45681.0</v>
      </c>
      <c r="B175" s="4" t="s">
        <v>48</v>
      </c>
      <c r="C175" s="4" t="s">
        <v>22</v>
      </c>
      <c r="D175" s="4">
        <v>6.0</v>
      </c>
    </row>
    <row r="176" ht="15.75" customHeight="1">
      <c r="A176" s="3">
        <v>45672.0</v>
      </c>
      <c r="B176" s="4" t="s">
        <v>139</v>
      </c>
      <c r="C176" s="4" t="s">
        <v>109</v>
      </c>
      <c r="D176" s="4">
        <v>36.0</v>
      </c>
    </row>
    <row r="177" ht="15.75" customHeight="1">
      <c r="A177" s="3">
        <v>45698.0</v>
      </c>
      <c r="B177" s="4" t="s">
        <v>70</v>
      </c>
      <c r="C177" s="4" t="s">
        <v>52</v>
      </c>
      <c r="D177" s="4">
        <v>40.0</v>
      </c>
    </row>
    <row r="178" ht="15.75" customHeight="1">
      <c r="A178" s="3">
        <v>45697.0</v>
      </c>
      <c r="B178" s="4" t="s">
        <v>53</v>
      </c>
      <c r="C178" s="4" t="s">
        <v>50</v>
      </c>
      <c r="D178" s="4">
        <v>11.0</v>
      </c>
    </row>
    <row r="179" ht="15.75" customHeight="1">
      <c r="A179" s="3">
        <v>45672.0</v>
      </c>
      <c r="B179" s="4" t="s">
        <v>98</v>
      </c>
      <c r="C179" s="4" t="s">
        <v>22</v>
      </c>
      <c r="D179" s="4">
        <v>17.0</v>
      </c>
    </row>
    <row r="180" ht="15.75" customHeight="1">
      <c r="A180" s="3">
        <v>45721.0</v>
      </c>
      <c r="B180" s="4" t="s">
        <v>66</v>
      </c>
      <c r="C180" s="4" t="s">
        <v>52</v>
      </c>
      <c r="D180" s="4">
        <v>3.0</v>
      </c>
    </row>
    <row r="181" ht="15.75" customHeight="1">
      <c r="A181" s="3">
        <v>45675.0</v>
      </c>
      <c r="B181" s="4" t="s">
        <v>42</v>
      </c>
      <c r="C181" s="4" t="s">
        <v>24</v>
      </c>
      <c r="D181" s="4">
        <v>39.0</v>
      </c>
    </row>
    <row r="182" ht="15.75" customHeight="1">
      <c r="A182" s="3">
        <v>45723.0</v>
      </c>
      <c r="B182" s="4" t="s">
        <v>132</v>
      </c>
      <c r="C182" s="4" t="s">
        <v>26</v>
      </c>
      <c r="D182" s="4">
        <v>34.0</v>
      </c>
    </row>
    <row r="183" ht="15.75" customHeight="1">
      <c r="A183" s="3">
        <v>45685.0</v>
      </c>
      <c r="B183" s="4" t="s">
        <v>80</v>
      </c>
      <c r="C183" s="4" t="s">
        <v>22</v>
      </c>
      <c r="D183" s="4">
        <v>14.0</v>
      </c>
    </row>
    <row r="184" ht="15.75" customHeight="1">
      <c r="A184" s="3">
        <v>45688.0</v>
      </c>
      <c r="B184" s="4" t="s">
        <v>72</v>
      </c>
      <c r="C184" s="4" t="s">
        <v>13</v>
      </c>
      <c r="D184" s="4">
        <v>6.0</v>
      </c>
    </row>
    <row r="185" ht="15.75" customHeight="1">
      <c r="A185" s="3">
        <v>45683.0</v>
      </c>
      <c r="B185" s="4" t="s">
        <v>71</v>
      </c>
      <c r="C185" s="4" t="s">
        <v>20</v>
      </c>
      <c r="D185" s="4">
        <v>44.0</v>
      </c>
    </row>
    <row r="186" ht="15.75" customHeight="1">
      <c r="A186" s="3">
        <v>45704.0</v>
      </c>
      <c r="B186" s="4" t="s">
        <v>69</v>
      </c>
      <c r="C186" s="4" t="s">
        <v>24</v>
      </c>
      <c r="D186" s="4">
        <v>66.0</v>
      </c>
    </row>
    <row r="187" ht="15.75" customHeight="1">
      <c r="A187" s="3">
        <v>45679.0</v>
      </c>
      <c r="B187" s="4" t="s">
        <v>93</v>
      </c>
      <c r="C187" s="4" t="s">
        <v>82</v>
      </c>
      <c r="D187" s="4">
        <v>57.0</v>
      </c>
    </row>
    <row r="188" ht="15.75" customHeight="1">
      <c r="A188" s="3">
        <v>45682.0</v>
      </c>
      <c r="B188" s="4" t="s">
        <v>114</v>
      </c>
      <c r="C188" s="4" t="s">
        <v>75</v>
      </c>
      <c r="D188" s="4">
        <v>17.0</v>
      </c>
    </row>
    <row r="189" ht="15.75" customHeight="1">
      <c r="A189" s="3">
        <v>45732.0</v>
      </c>
      <c r="B189" s="4" t="s">
        <v>32</v>
      </c>
      <c r="C189" s="4" t="s">
        <v>22</v>
      </c>
      <c r="D189" s="4">
        <v>25.0</v>
      </c>
    </row>
    <row r="190" ht="15.75" customHeight="1">
      <c r="A190" s="3">
        <v>45663.0</v>
      </c>
      <c r="B190" s="4" t="s">
        <v>15</v>
      </c>
      <c r="C190" s="4" t="s">
        <v>16</v>
      </c>
      <c r="D190" s="4">
        <v>23.0</v>
      </c>
    </row>
    <row r="191" ht="15.75" customHeight="1">
      <c r="A191" s="3">
        <v>45684.0</v>
      </c>
      <c r="B191" s="4" t="s">
        <v>7</v>
      </c>
      <c r="C191" s="4" t="s">
        <v>8</v>
      </c>
      <c r="D191" s="4">
        <v>1.0</v>
      </c>
    </row>
    <row r="192" ht="15.75" customHeight="1">
      <c r="A192" s="3">
        <v>45733.0</v>
      </c>
      <c r="B192" s="4" t="s">
        <v>59</v>
      </c>
      <c r="C192" s="4" t="s">
        <v>16</v>
      </c>
      <c r="D192" s="4">
        <v>58.0</v>
      </c>
    </row>
    <row r="193" ht="15.75" customHeight="1">
      <c r="A193" s="3">
        <v>45731.0</v>
      </c>
      <c r="B193" s="4" t="s">
        <v>120</v>
      </c>
      <c r="C193" s="4" t="s">
        <v>26</v>
      </c>
      <c r="D193" s="4">
        <v>39.0</v>
      </c>
    </row>
    <row r="194" ht="15.75" customHeight="1">
      <c r="A194" s="3">
        <v>45729.0</v>
      </c>
      <c r="B194" s="4" t="s">
        <v>6</v>
      </c>
      <c r="C194" s="4" t="s">
        <v>5</v>
      </c>
      <c r="D194" s="4">
        <v>66.0</v>
      </c>
    </row>
    <row r="195" ht="15.75" customHeight="1">
      <c r="A195" s="3">
        <v>45736.0</v>
      </c>
      <c r="B195" s="4" t="s">
        <v>40</v>
      </c>
      <c r="C195" s="4" t="s">
        <v>41</v>
      </c>
      <c r="D195" s="4">
        <v>60.0</v>
      </c>
    </row>
    <row r="196" ht="15.75" customHeight="1">
      <c r="A196" s="3">
        <v>45724.0</v>
      </c>
      <c r="B196" s="4" t="s">
        <v>45</v>
      </c>
      <c r="C196" s="4" t="s">
        <v>24</v>
      </c>
      <c r="D196" s="4">
        <v>18.0</v>
      </c>
    </row>
    <row r="197" ht="15.75" customHeight="1">
      <c r="A197" s="3">
        <v>45701.0</v>
      </c>
      <c r="B197" s="4" t="s">
        <v>98</v>
      </c>
      <c r="C197" s="4" t="s">
        <v>22</v>
      </c>
      <c r="D197" s="4">
        <v>40.0</v>
      </c>
    </row>
    <row r="198" ht="15.75" customHeight="1">
      <c r="A198" s="3">
        <v>45694.0</v>
      </c>
      <c r="B198" s="4" t="s">
        <v>135</v>
      </c>
      <c r="C198" s="4" t="s">
        <v>62</v>
      </c>
      <c r="D198" s="4">
        <v>49.0</v>
      </c>
    </row>
    <row r="199" ht="15.75" customHeight="1">
      <c r="A199" s="3">
        <v>45734.0</v>
      </c>
      <c r="B199" s="4" t="s">
        <v>32</v>
      </c>
      <c r="C199" s="4" t="s">
        <v>22</v>
      </c>
      <c r="D199" s="4">
        <v>33.0</v>
      </c>
    </row>
    <row r="200" ht="15.75" customHeight="1">
      <c r="A200" s="3">
        <v>45727.0</v>
      </c>
      <c r="B200" s="4" t="s">
        <v>33</v>
      </c>
      <c r="C200" s="4" t="s">
        <v>28</v>
      </c>
      <c r="D200" s="4">
        <v>6.0</v>
      </c>
    </row>
    <row r="201" ht="15.75" customHeight="1">
      <c r="A201" s="3">
        <v>45667.0</v>
      </c>
      <c r="B201" s="4" t="s">
        <v>36</v>
      </c>
      <c r="C201" s="4" t="s">
        <v>22</v>
      </c>
      <c r="D201" s="4">
        <v>35.0</v>
      </c>
    </row>
    <row r="202" ht="15.75" customHeight="1">
      <c r="A202" s="3">
        <v>45708.0</v>
      </c>
      <c r="B202" s="4" t="s">
        <v>37</v>
      </c>
      <c r="C202" s="4" t="s">
        <v>8</v>
      </c>
      <c r="D202" s="4">
        <v>24.0</v>
      </c>
    </row>
    <row r="203" ht="15.75" customHeight="1">
      <c r="A203" s="3">
        <v>45744.0</v>
      </c>
      <c r="B203" s="4" t="s">
        <v>105</v>
      </c>
      <c r="C203" s="4" t="s">
        <v>79</v>
      </c>
      <c r="D203" s="4">
        <v>20.0</v>
      </c>
    </row>
    <row r="204" ht="15.75" customHeight="1">
      <c r="A204" s="3">
        <v>45744.0</v>
      </c>
      <c r="B204" s="4" t="s">
        <v>90</v>
      </c>
      <c r="C204" s="4" t="s">
        <v>39</v>
      </c>
      <c r="D204" s="4">
        <v>6.0</v>
      </c>
    </row>
    <row r="205" ht="15.75" customHeight="1">
      <c r="A205" s="3">
        <v>45699.0</v>
      </c>
      <c r="B205" s="4" t="s">
        <v>128</v>
      </c>
      <c r="C205" s="4" t="s">
        <v>82</v>
      </c>
      <c r="D205" s="4">
        <v>68.0</v>
      </c>
    </row>
    <row r="206" ht="15.75" customHeight="1">
      <c r="A206" s="3">
        <v>45745.0</v>
      </c>
      <c r="B206" s="4" t="s">
        <v>36</v>
      </c>
      <c r="C206" s="4" t="s">
        <v>22</v>
      </c>
      <c r="D206" s="4">
        <v>78.0</v>
      </c>
    </row>
    <row r="207" ht="15.75" customHeight="1">
      <c r="A207" s="3">
        <v>45733.0</v>
      </c>
      <c r="B207" s="4" t="s">
        <v>135</v>
      </c>
      <c r="C207" s="4" t="s">
        <v>62</v>
      </c>
      <c r="D207" s="4">
        <v>12.0</v>
      </c>
    </row>
    <row r="208" ht="15.75" customHeight="1">
      <c r="A208" s="3">
        <v>45724.0</v>
      </c>
      <c r="B208" s="4" t="s">
        <v>23</v>
      </c>
      <c r="C208" s="4" t="s">
        <v>24</v>
      </c>
      <c r="D208" s="4">
        <v>72.0</v>
      </c>
    </row>
    <row r="209" ht="15.75" customHeight="1">
      <c r="A209" s="3">
        <v>45663.0</v>
      </c>
      <c r="B209" s="4" t="s">
        <v>67</v>
      </c>
      <c r="C209" s="4" t="s">
        <v>39</v>
      </c>
      <c r="D209" s="4">
        <v>57.0</v>
      </c>
    </row>
    <row r="210" ht="15.75" customHeight="1">
      <c r="A210" s="3">
        <v>45701.0</v>
      </c>
      <c r="B210" s="4" t="s">
        <v>114</v>
      </c>
      <c r="C210" s="4" t="s">
        <v>75</v>
      </c>
      <c r="D210" s="4">
        <v>78.0</v>
      </c>
    </row>
    <row r="211" ht="15.75" customHeight="1">
      <c r="A211" s="3">
        <v>45736.0</v>
      </c>
      <c r="B211" s="4" t="s">
        <v>45</v>
      </c>
      <c r="C211" s="4" t="s">
        <v>24</v>
      </c>
      <c r="D211" s="4">
        <v>3.0</v>
      </c>
    </row>
    <row r="212" ht="15.75" customHeight="1">
      <c r="A212" s="3">
        <v>45734.0</v>
      </c>
      <c r="B212" s="4" t="s">
        <v>136</v>
      </c>
      <c r="C212" s="4" t="s">
        <v>79</v>
      </c>
      <c r="D212" s="4">
        <v>64.0</v>
      </c>
    </row>
    <row r="213" ht="15.75" customHeight="1">
      <c r="A213" s="3">
        <v>45697.0</v>
      </c>
      <c r="B213" s="4" t="s">
        <v>140</v>
      </c>
      <c r="C213" s="4" t="s">
        <v>85</v>
      </c>
      <c r="D213" s="4">
        <v>52.0</v>
      </c>
    </row>
    <row r="214" ht="15.75" customHeight="1">
      <c r="A214" s="3">
        <v>45695.0</v>
      </c>
      <c r="B214" s="4" t="s">
        <v>138</v>
      </c>
      <c r="C214" s="4" t="s">
        <v>85</v>
      </c>
      <c r="D214" s="4">
        <v>46.0</v>
      </c>
    </row>
    <row r="215" ht="15.75" customHeight="1">
      <c r="A215" s="3">
        <v>45728.0</v>
      </c>
      <c r="B215" s="4" t="s">
        <v>15</v>
      </c>
      <c r="C215" s="4" t="s">
        <v>16</v>
      </c>
      <c r="D215" s="4">
        <v>20.0</v>
      </c>
    </row>
    <row r="216" ht="15.75" customHeight="1">
      <c r="A216" s="3">
        <v>45673.0</v>
      </c>
      <c r="B216" s="4" t="s">
        <v>117</v>
      </c>
      <c r="C216" s="4" t="s">
        <v>28</v>
      </c>
      <c r="D216" s="4">
        <v>56.0</v>
      </c>
    </row>
    <row r="217" ht="15.75" customHeight="1">
      <c r="A217" s="3">
        <v>45705.0</v>
      </c>
      <c r="B217" s="4" t="s">
        <v>113</v>
      </c>
      <c r="C217" s="4" t="s">
        <v>85</v>
      </c>
      <c r="D217" s="4">
        <v>40.0</v>
      </c>
    </row>
    <row r="218" ht="15.75" customHeight="1">
      <c r="A218" s="3">
        <v>45664.0</v>
      </c>
      <c r="B218" s="4" t="s">
        <v>34</v>
      </c>
      <c r="C218" s="4" t="s">
        <v>28</v>
      </c>
      <c r="D218" s="4">
        <v>47.0</v>
      </c>
    </row>
    <row r="219" ht="15.75" customHeight="1">
      <c r="A219" s="3">
        <v>45727.0</v>
      </c>
      <c r="B219" s="4" t="s">
        <v>117</v>
      </c>
      <c r="C219" s="4" t="s">
        <v>28</v>
      </c>
      <c r="D219" s="4">
        <v>74.0</v>
      </c>
    </row>
    <row r="220" ht="15.75" customHeight="1">
      <c r="A220" s="3">
        <v>45726.0</v>
      </c>
      <c r="B220" s="4" t="s">
        <v>30</v>
      </c>
      <c r="C220" s="4" t="s">
        <v>31</v>
      </c>
      <c r="D220" s="4">
        <v>36.0</v>
      </c>
    </row>
    <row r="221" ht="15.75" customHeight="1">
      <c r="A221" s="3">
        <v>45711.0</v>
      </c>
      <c r="B221" s="4" t="s">
        <v>97</v>
      </c>
      <c r="C221" s="4" t="s">
        <v>52</v>
      </c>
      <c r="D221" s="4">
        <v>40.0</v>
      </c>
    </row>
    <row r="222" ht="15.75" customHeight="1">
      <c r="A222" s="3">
        <v>45701.0</v>
      </c>
      <c r="B222" s="4" t="s">
        <v>44</v>
      </c>
      <c r="C222" s="4" t="s">
        <v>20</v>
      </c>
      <c r="D222" s="4">
        <v>10.0</v>
      </c>
    </row>
    <row r="223" ht="15.75" customHeight="1">
      <c r="A223" s="3">
        <v>45723.0</v>
      </c>
      <c r="B223" s="4" t="s">
        <v>9</v>
      </c>
      <c r="C223" s="4" t="s">
        <v>8</v>
      </c>
      <c r="D223" s="4">
        <v>53.0</v>
      </c>
    </row>
    <row r="224" ht="15.75" customHeight="1">
      <c r="A224" s="3">
        <v>45735.0</v>
      </c>
      <c r="B224" s="4" t="s">
        <v>73</v>
      </c>
      <c r="C224" s="4" t="s">
        <v>13</v>
      </c>
      <c r="D224" s="4">
        <v>8.0</v>
      </c>
    </row>
    <row r="225" ht="15.75" customHeight="1">
      <c r="A225" s="3">
        <v>45732.0</v>
      </c>
      <c r="B225" s="4" t="s">
        <v>138</v>
      </c>
      <c r="C225" s="4" t="s">
        <v>85</v>
      </c>
      <c r="D225" s="4">
        <v>59.0</v>
      </c>
    </row>
    <row r="226" ht="15.75" customHeight="1">
      <c r="A226" s="3">
        <v>45695.0</v>
      </c>
      <c r="B226" s="4" t="s">
        <v>25</v>
      </c>
      <c r="C226" s="4" t="s">
        <v>26</v>
      </c>
      <c r="D226" s="4">
        <v>3.0</v>
      </c>
    </row>
    <row r="227" ht="15.75" customHeight="1">
      <c r="A227" s="3">
        <v>45672.0</v>
      </c>
      <c r="B227" s="4" t="s">
        <v>64</v>
      </c>
      <c r="C227" s="4" t="s">
        <v>41</v>
      </c>
      <c r="D227" s="4">
        <v>65.0</v>
      </c>
    </row>
    <row r="228" ht="15.75" customHeight="1">
      <c r="A228" s="3">
        <v>45677.0</v>
      </c>
      <c r="B228" s="4" t="s">
        <v>127</v>
      </c>
      <c r="C228" s="4" t="s">
        <v>22</v>
      </c>
      <c r="D228" s="4">
        <v>74.0</v>
      </c>
    </row>
    <row r="229" ht="15.75" customHeight="1">
      <c r="A229" s="3">
        <v>45707.0</v>
      </c>
      <c r="B229" s="4" t="s">
        <v>92</v>
      </c>
      <c r="C229" s="4" t="s">
        <v>82</v>
      </c>
      <c r="D229" s="4">
        <v>3.0</v>
      </c>
    </row>
    <row r="230" ht="15.75" customHeight="1">
      <c r="A230" s="3">
        <v>45676.0</v>
      </c>
      <c r="B230" s="4" t="s">
        <v>71</v>
      </c>
      <c r="C230" s="4" t="s">
        <v>20</v>
      </c>
      <c r="D230" s="4">
        <v>72.0</v>
      </c>
    </row>
    <row r="231" ht="15.75" customHeight="1">
      <c r="A231" s="3">
        <v>45693.0</v>
      </c>
      <c r="B231" s="4" t="s">
        <v>90</v>
      </c>
      <c r="C231" s="4" t="s">
        <v>39</v>
      </c>
      <c r="D231" s="4">
        <v>58.0</v>
      </c>
    </row>
    <row r="232" ht="15.75" customHeight="1">
      <c r="A232" s="3">
        <v>45687.0</v>
      </c>
      <c r="B232" s="4" t="s">
        <v>58</v>
      </c>
      <c r="C232" s="4" t="s">
        <v>24</v>
      </c>
      <c r="D232" s="4">
        <v>17.0</v>
      </c>
    </row>
    <row r="233" ht="15.75" customHeight="1">
      <c r="A233" s="3">
        <v>45735.0</v>
      </c>
      <c r="B233" s="4" t="s">
        <v>142</v>
      </c>
      <c r="C233" s="4" t="s">
        <v>5</v>
      </c>
      <c r="D233" s="4">
        <v>9.0</v>
      </c>
    </row>
    <row r="234" ht="15.75" customHeight="1">
      <c r="A234" s="3">
        <v>45691.0</v>
      </c>
      <c r="B234" s="4" t="s">
        <v>142</v>
      </c>
      <c r="C234" s="4" t="s">
        <v>5</v>
      </c>
      <c r="D234" s="4">
        <v>67.0</v>
      </c>
    </row>
    <row r="235" ht="15.75" customHeight="1">
      <c r="A235" s="3">
        <v>45677.0</v>
      </c>
      <c r="B235" s="4" t="s">
        <v>115</v>
      </c>
      <c r="C235" s="4" t="s">
        <v>50</v>
      </c>
      <c r="D235" s="4">
        <v>10.0</v>
      </c>
    </row>
    <row r="236" ht="15.75" customHeight="1">
      <c r="A236" s="3">
        <v>45673.0</v>
      </c>
      <c r="B236" s="4" t="s">
        <v>66</v>
      </c>
      <c r="C236" s="4" t="s">
        <v>52</v>
      </c>
      <c r="D236" s="4">
        <v>39.0</v>
      </c>
    </row>
    <row r="237" ht="15.75" customHeight="1">
      <c r="A237" s="3">
        <v>45732.0</v>
      </c>
      <c r="B237" s="4" t="s">
        <v>59</v>
      </c>
      <c r="C237" s="4" t="s">
        <v>16</v>
      </c>
      <c r="D237" s="4">
        <v>79.0</v>
      </c>
    </row>
    <row r="238" ht="15.75" customHeight="1">
      <c r="A238" s="3">
        <v>45663.0</v>
      </c>
      <c r="B238" s="4" t="s">
        <v>138</v>
      </c>
      <c r="C238" s="4" t="s">
        <v>85</v>
      </c>
      <c r="D238" s="4">
        <v>19.0</v>
      </c>
    </row>
    <row r="239" ht="15.75" customHeight="1">
      <c r="A239" s="3">
        <v>45664.0</v>
      </c>
      <c r="B239" s="4" t="s">
        <v>48</v>
      </c>
      <c r="C239" s="4" t="s">
        <v>22</v>
      </c>
      <c r="D239" s="4">
        <v>7.0</v>
      </c>
    </row>
    <row r="240" ht="15.75" customHeight="1">
      <c r="A240" s="3">
        <v>45705.0</v>
      </c>
      <c r="B240" s="4" t="s">
        <v>108</v>
      </c>
      <c r="C240" s="4" t="s">
        <v>109</v>
      </c>
      <c r="D240" s="4">
        <v>52.0</v>
      </c>
    </row>
    <row r="241" ht="15.75" customHeight="1">
      <c r="A241" s="3">
        <v>45692.0</v>
      </c>
      <c r="B241" s="4" t="s">
        <v>17</v>
      </c>
      <c r="C241" s="4" t="s">
        <v>16</v>
      </c>
      <c r="D241" s="4">
        <v>26.0</v>
      </c>
    </row>
    <row r="242" ht="15.75" customHeight="1">
      <c r="A242" s="3">
        <v>45701.0</v>
      </c>
      <c r="B242" s="4" t="s">
        <v>91</v>
      </c>
      <c r="C242" s="4" t="s">
        <v>26</v>
      </c>
      <c r="D242" s="4">
        <v>5.0</v>
      </c>
    </row>
    <row r="243" ht="15.75" customHeight="1">
      <c r="A243" s="3">
        <v>45673.0</v>
      </c>
      <c r="B243" s="4" t="s">
        <v>138</v>
      </c>
      <c r="C243" s="4" t="s">
        <v>85</v>
      </c>
      <c r="D243" s="4">
        <v>40.0</v>
      </c>
    </row>
    <row r="244" ht="15.75" customHeight="1">
      <c r="A244" s="3">
        <v>45728.0</v>
      </c>
      <c r="B244" s="4" t="s">
        <v>9</v>
      </c>
      <c r="C244" s="4" t="s">
        <v>8</v>
      </c>
      <c r="D244" s="4">
        <v>59.0</v>
      </c>
    </row>
    <row r="245" ht="15.75" customHeight="1">
      <c r="A245" s="3">
        <v>45708.0</v>
      </c>
      <c r="B245" s="4" t="s">
        <v>67</v>
      </c>
      <c r="C245" s="4" t="s">
        <v>39</v>
      </c>
      <c r="D245" s="4">
        <v>63.0</v>
      </c>
    </row>
    <row r="246" ht="15.75" customHeight="1">
      <c r="A246" s="3">
        <v>45698.0</v>
      </c>
      <c r="B246" s="4" t="s">
        <v>120</v>
      </c>
      <c r="C246" s="4" t="s">
        <v>26</v>
      </c>
      <c r="D246" s="4">
        <v>7.0</v>
      </c>
    </row>
    <row r="247" ht="15.75" customHeight="1">
      <c r="A247" s="3">
        <v>45716.0</v>
      </c>
      <c r="B247" s="4" t="s">
        <v>93</v>
      </c>
      <c r="C247" s="4" t="s">
        <v>82</v>
      </c>
      <c r="D247" s="4">
        <v>16.0</v>
      </c>
    </row>
    <row r="248" ht="15.75" customHeight="1">
      <c r="A248" s="3">
        <v>45713.0</v>
      </c>
      <c r="B248" s="4" t="s">
        <v>137</v>
      </c>
      <c r="C248" s="4" t="s">
        <v>20</v>
      </c>
      <c r="D248" s="4">
        <v>20.0</v>
      </c>
    </row>
    <row r="249" ht="15.75" customHeight="1">
      <c r="A249" s="3">
        <v>45737.0</v>
      </c>
      <c r="B249" s="4" t="s">
        <v>14</v>
      </c>
      <c r="C249" s="4" t="s">
        <v>8</v>
      </c>
      <c r="D249" s="4">
        <v>28.0</v>
      </c>
    </row>
    <row r="250" ht="15.75" customHeight="1">
      <c r="A250" s="3">
        <v>45725.0</v>
      </c>
      <c r="B250" s="4" t="s">
        <v>40</v>
      </c>
      <c r="C250" s="4" t="s">
        <v>41</v>
      </c>
      <c r="D250" s="4">
        <v>52.0</v>
      </c>
    </row>
    <row r="251" ht="15.75" customHeight="1">
      <c r="A251" s="3">
        <v>45703.0</v>
      </c>
      <c r="B251" s="4" t="s">
        <v>116</v>
      </c>
      <c r="C251" s="4" t="s">
        <v>82</v>
      </c>
      <c r="D251" s="4">
        <v>78.0</v>
      </c>
    </row>
    <row r="252" ht="15.75" customHeight="1">
      <c r="A252" s="3">
        <v>45726.0</v>
      </c>
      <c r="B252" s="4" t="s">
        <v>60</v>
      </c>
      <c r="C252" s="4" t="s">
        <v>24</v>
      </c>
      <c r="D252" s="4">
        <v>6.0</v>
      </c>
    </row>
    <row r="253" ht="15.75" customHeight="1">
      <c r="A253" s="3">
        <v>45726.0</v>
      </c>
      <c r="B253" s="4" t="s">
        <v>126</v>
      </c>
      <c r="C253" s="4" t="s">
        <v>26</v>
      </c>
      <c r="D253" s="4">
        <v>53.0</v>
      </c>
    </row>
    <row r="254" ht="15.75" customHeight="1">
      <c r="A254" s="3">
        <v>45667.0</v>
      </c>
      <c r="B254" s="4" t="s">
        <v>73</v>
      </c>
      <c r="C254" s="4" t="s">
        <v>13</v>
      </c>
      <c r="D254" s="4">
        <v>32.0</v>
      </c>
    </row>
    <row r="255" ht="15.75" customHeight="1">
      <c r="A255" s="3">
        <v>45695.0</v>
      </c>
      <c r="B255" s="4" t="s">
        <v>14</v>
      </c>
      <c r="C255" s="4" t="s">
        <v>8</v>
      </c>
      <c r="D255" s="4">
        <v>62.0</v>
      </c>
    </row>
    <row r="256" ht="15.75" customHeight="1">
      <c r="A256" s="3">
        <v>45730.0</v>
      </c>
      <c r="B256" s="4" t="s">
        <v>110</v>
      </c>
      <c r="C256" s="4" t="s">
        <v>8</v>
      </c>
      <c r="D256" s="4">
        <v>53.0</v>
      </c>
    </row>
    <row r="257" ht="15.75" customHeight="1">
      <c r="A257" s="3">
        <v>45741.0</v>
      </c>
      <c r="B257" s="4" t="s">
        <v>136</v>
      </c>
      <c r="C257" s="4" t="s">
        <v>79</v>
      </c>
      <c r="D257" s="4">
        <v>51.0</v>
      </c>
    </row>
    <row r="258" ht="15.75" customHeight="1">
      <c r="A258" s="3">
        <v>45682.0</v>
      </c>
      <c r="B258" s="4" t="s">
        <v>115</v>
      </c>
      <c r="C258" s="4" t="s">
        <v>50</v>
      </c>
      <c r="D258" s="4">
        <v>50.0</v>
      </c>
    </row>
    <row r="259" ht="15.75" customHeight="1">
      <c r="A259" s="3">
        <v>45670.0</v>
      </c>
      <c r="B259" s="4" t="s">
        <v>124</v>
      </c>
      <c r="C259" s="4" t="s">
        <v>26</v>
      </c>
      <c r="D259" s="4">
        <v>64.0</v>
      </c>
    </row>
    <row r="260" ht="15.75" customHeight="1">
      <c r="A260" s="3">
        <v>45686.0</v>
      </c>
      <c r="B260" s="4" t="s">
        <v>57</v>
      </c>
      <c r="C260" s="4" t="s">
        <v>8</v>
      </c>
      <c r="D260" s="4">
        <v>60.0</v>
      </c>
    </row>
    <row r="261" ht="15.75" customHeight="1">
      <c r="A261" s="3">
        <v>45720.0</v>
      </c>
      <c r="B261" s="4" t="s">
        <v>141</v>
      </c>
      <c r="C261" s="4" t="s">
        <v>24</v>
      </c>
      <c r="D261" s="4">
        <v>7.0</v>
      </c>
    </row>
    <row r="262" ht="15.75" customHeight="1">
      <c r="A262" s="3">
        <v>45692.0</v>
      </c>
      <c r="B262" s="4" t="s">
        <v>35</v>
      </c>
      <c r="C262" s="4" t="s">
        <v>8</v>
      </c>
      <c r="D262" s="4">
        <v>51.0</v>
      </c>
    </row>
    <row r="263" ht="15.75" customHeight="1">
      <c r="A263" s="3">
        <v>45718.0</v>
      </c>
      <c r="B263" s="4" t="s">
        <v>86</v>
      </c>
      <c r="C263" s="4" t="s">
        <v>26</v>
      </c>
      <c r="D263" s="4">
        <v>6.0</v>
      </c>
    </row>
    <row r="264" ht="15.75" customHeight="1">
      <c r="A264" s="3">
        <v>45743.0</v>
      </c>
      <c r="B264" s="4" t="s">
        <v>14</v>
      </c>
      <c r="C264" s="4" t="s">
        <v>8</v>
      </c>
      <c r="D264" s="4">
        <v>24.0</v>
      </c>
    </row>
    <row r="265" ht="15.75" customHeight="1">
      <c r="A265" s="3">
        <v>45686.0</v>
      </c>
      <c r="B265" s="4" t="s">
        <v>90</v>
      </c>
      <c r="C265" s="4" t="s">
        <v>39</v>
      </c>
      <c r="D265" s="4">
        <v>73.0</v>
      </c>
    </row>
    <row r="266" ht="15.75" customHeight="1">
      <c r="A266" s="3">
        <v>45701.0</v>
      </c>
      <c r="B266" s="4" t="s">
        <v>78</v>
      </c>
      <c r="C266" s="4" t="s">
        <v>79</v>
      </c>
      <c r="D266" s="4">
        <v>74.0</v>
      </c>
    </row>
    <row r="267" ht="15.75" customHeight="1">
      <c r="A267" s="3">
        <v>45668.0</v>
      </c>
      <c r="B267" s="4" t="s">
        <v>77</v>
      </c>
      <c r="C267" s="4" t="s">
        <v>50</v>
      </c>
      <c r="D267" s="4">
        <v>22.0</v>
      </c>
    </row>
    <row r="268" ht="15.75" customHeight="1">
      <c r="A268" s="3">
        <v>45739.0</v>
      </c>
      <c r="B268" s="4" t="s">
        <v>128</v>
      </c>
      <c r="C268" s="4" t="s">
        <v>82</v>
      </c>
      <c r="D268" s="4">
        <v>69.0</v>
      </c>
    </row>
    <row r="269" ht="15.75" customHeight="1">
      <c r="A269" s="3">
        <v>45670.0</v>
      </c>
      <c r="B269" s="4" t="s">
        <v>80</v>
      </c>
      <c r="C269" s="4" t="s">
        <v>22</v>
      </c>
      <c r="D269" s="4">
        <v>33.0</v>
      </c>
    </row>
    <row r="270" ht="15.75" customHeight="1">
      <c r="A270" s="3">
        <v>45689.0</v>
      </c>
      <c r="B270" s="4" t="s">
        <v>121</v>
      </c>
      <c r="C270" s="4" t="s">
        <v>50</v>
      </c>
      <c r="D270" s="4">
        <v>52.0</v>
      </c>
    </row>
    <row r="271" ht="15.75" customHeight="1">
      <c r="A271" s="3">
        <v>45734.0</v>
      </c>
      <c r="B271" s="4" t="s">
        <v>136</v>
      </c>
      <c r="C271" s="4" t="s">
        <v>79</v>
      </c>
      <c r="D271" s="4">
        <v>79.0</v>
      </c>
    </row>
    <row r="272" ht="15.75" customHeight="1">
      <c r="A272" s="3">
        <v>45657.0</v>
      </c>
      <c r="B272" s="4" t="s">
        <v>99</v>
      </c>
      <c r="C272" s="4" t="s">
        <v>16</v>
      </c>
      <c r="D272" s="4">
        <v>43.0</v>
      </c>
    </row>
    <row r="273" ht="15.75" customHeight="1">
      <c r="A273" s="3">
        <v>45735.0</v>
      </c>
      <c r="B273" s="4" t="s">
        <v>56</v>
      </c>
      <c r="C273" s="4" t="s">
        <v>5</v>
      </c>
      <c r="D273" s="4">
        <v>40.0</v>
      </c>
    </row>
    <row r="274" ht="15.75" customHeight="1">
      <c r="A274" s="3">
        <v>45717.0</v>
      </c>
      <c r="B274" s="4" t="s">
        <v>126</v>
      </c>
      <c r="C274" s="4" t="s">
        <v>26</v>
      </c>
      <c r="D274" s="4">
        <v>29.0</v>
      </c>
    </row>
    <row r="275" ht="15.75" customHeight="1">
      <c r="A275" s="3">
        <v>45669.0</v>
      </c>
      <c r="B275" s="4" t="s">
        <v>81</v>
      </c>
      <c r="C275" s="4" t="s">
        <v>82</v>
      </c>
      <c r="D275" s="4">
        <v>23.0</v>
      </c>
    </row>
    <row r="276" ht="15.75" customHeight="1">
      <c r="A276" s="3">
        <v>45658.0</v>
      </c>
      <c r="B276" s="4" t="s">
        <v>105</v>
      </c>
      <c r="C276" s="4" t="s">
        <v>79</v>
      </c>
      <c r="D276" s="4">
        <v>62.0</v>
      </c>
    </row>
    <row r="277" ht="15.75" customHeight="1">
      <c r="A277" s="3">
        <v>45691.0</v>
      </c>
      <c r="B277" s="4" t="s">
        <v>17</v>
      </c>
      <c r="C277" s="4" t="s">
        <v>16</v>
      </c>
      <c r="D277" s="4">
        <v>33.0</v>
      </c>
    </row>
    <row r="278" ht="15.75" customHeight="1">
      <c r="A278" s="3">
        <v>45727.0</v>
      </c>
      <c r="B278" s="4" t="s">
        <v>71</v>
      </c>
      <c r="C278" s="4" t="s">
        <v>20</v>
      </c>
      <c r="D278" s="4">
        <v>75.0</v>
      </c>
    </row>
    <row r="279" ht="15.75" customHeight="1">
      <c r="A279" s="3">
        <v>45708.0</v>
      </c>
      <c r="B279" s="4" t="s">
        <v>14</v>
      </c>
      <c r="C279" s="4" t="s">
        <v>8</v>
      </c>
      <c r="D279" s="4">
        <v>70.0</v>
      </c>
    </row>
    <row r="280" ht="15.75" customHeight="1">
      <c r="A280" s="3">
        <v>45687.0</v>
      </c>
      <c r="B280" s="4" t="s">
        <v>53</v>
      </c>
      <c r="C280" s="4" t="s">
        <v>50</v>
      </c>
      <c r="D280" s="4">
        <v>73.0</v>
      </c>
    </row>
    <row r="281" ht="15.75" customHeight="1">
      <c r="A281" s="3">
        <v>45677.0</v>
      </c>
      <c r="B281" s="4" t="s">
        <v>55</v>
      </c>
      <c r="C281" s="4" t="s">
        <v>24</v>
      </c>
      <c r="D281" s="4">
        <v>13.0</v>
      </c>
    </row>
    <row r="282" ht="15.75" customHeight="1">
      <c r="A282" s="3">
        <v>45681.0</v>
      </c>
      <c r="B282" s="4" t="s">
        <v>73</v>
      </c>
      <c r="C282" s="4" t="s">
        <v>13</v>
      </c>
      <c r="D282" s="4">
        <v>57.0</v>
      </c>
    </row>
    <row r="283" ht="15.75" customHeight="1">
      <c r="A283" s="3">
        <v>45659.0</v>
      </c>
      <c r="B283" s="4" t="s">
        <v>21</v>
      </c>
      <c r="C283" s="4" t="s">
        <v>22</v>
      </c>
      <c r="D283" s="4">
        <v>53.0</v>
      </c>
    </row>
    <row r="284" ht="15.75" customHeight="1">
      <c r="A284" s="3">
        <v>45712.0</v>
      </c>
      <c r="B284" s="4" t="s">
        <v>141</v>
      </c>
      <c r="C284" s="4" t="s">
        <v>24</v>
      </c>
      <c r="D284" s="4">
        <v>76.0</v>
      </c>
    </row>
    <row r="285" ht="15.75" customHeight="1">
      <c r="A285" s="3">
        <v>45665.0</v>
      </c>
      <c r="B285" s="4" t="s">
        <v>70</v>
      </c>
      <c r="C285" s="4" t="s">
        <v>52</v>
      </c>
      <c r="D285" s="4">
        <v>13.0</v>
      </c>
    </row>
    <row r="286" ht="15.75" customHeight="1">
      <c r="A286" s="3">
        <v>45698.0</v>
      </c>
      <c r="B286" s="4" t="s">
        <v>44</v>
      </c>
      <c r="C286" s="4" t="s">
        <v>20</v>
      </c>
      <c r="D286" s="4">
        <v>44.0</v>
      </c>
    </row>
    <row r="287" ht="15.75" customHeight="1">
      <c r="A287" s="3">
        <v>45713.0</v>
      </c>
      <c r="B287" s="4" t="s">
        <v>40</v>
      </c>
      <c r="C287" s="4" t="s">
        <v>41</v>
      </c>
      <c r="D287" s="4">
        <v>13.0</v>
      </c>
    </row>
    <row r="288" ht="15.75" customHeight="1">
      <c r="A288" s="3">
        <v>45741.0</v>
      </c>
      <c r="B288" s="4" t="s">
        <v>66</v>
      </c>
      <c r="C288" s="4" t="s">
        <v>52</v>
      </c>
      <c r="D288" s="4">
        <v>40.0</v>
      </c>
    </row>
    <row r="289" ht="15.75" customHeight="1">
      <c r="A289" s="3">
        <v>45693.0</v>
      </c>
      <c r="B289" s="4" t="s">
        <v>65</v>
      </c>
      <c r="C289" s="4" t="s">
        <v>5</v>
      </c>
      <c r="D289" s="4">
        <v>68.0</v>
      </c>
    </row>
    <row r="290" ht="15.75" customHeight="1">
      <c r="A290" s="3">
        <v>45718.0</v>
      </c>
      <c r="B290" s="4" t="s">
        <v>111</v>
      </c>
      <c r="C290" s="4" t="s">
        <v>109</v>
      </c>
      <c r="D290" s="4">
        <v>18.0</v>
      </c>
    </row>
    <row r="291" ht="15.75" customHeight="1">
      <c r="A291" s="3">
        <v>45733.0</v>
      </c>
      <c r="B291" s="4" t="s">
        <v>99</v>
      </c>
      <c r="C291" s="4" t="s">
        <v>16</v>
      </c>
      <c r="D291" s="4">
        <v>64.0</v>
      </c>
    </row>
    <row r="292" ht="15.75" customHeight="1">
      <c r="A292" s="3">
        <v>45681.0</v>
      </c>
      <c r="B292" s="4" t="s">
        <v>119</v>
      </c>
      <c r="C292" s="4" t="s">
        <v>16</v>
      </c>
      <c r="D292" s="4">
        <v>34.0</v>
      </c>
    </row>
    <row r="293" ht="15.75" customHeight="1">
      <c r="A293" s="3">
        <v>45738.0</v>
      </c>
      <c r="B293" s="4" t="s">
        <v>10</v>
      </c>
      <c r="C293" s="4" t="s">
        <v>8</v>
      </c>
      <c r="D293" s="4">
        <v>62.0</v>
      </c>
    </row>
    <row r="294" ht="15.75" customHeight="1">
      <c r="A294" s="3">
        <v>45745.0</v>
      </c>
      <c r="B294" s="4" t="s">
        <v>138</v>
      </c>
      <c r="C294" s="4" t="s">
        <v>85</v>
      </c>
      <c r="D294" s="4">
        <v>6.0</v>
      </c>
    </row>
    <row r="295" ht="15.75" customHeight="1">
      <c r="A295" s="3">
        <v>45697.0</v>
      </c>
      <c r="B295" s="4" t="s">
        <v>71</v>
      </c>
      <c r="C295" s="4" t="s">
        <v>20</v>
      </c>
      <c r="D295" s="4">
        <v>8.0</v>
      </c>
    </row>
    <row r="296" ht="15.75" customHeight="1">
      <c r="A296" s="3">
        <v>45673.0</v>
      </c>
      <c r="B296" s="4" t="s">
        <v>30</v>
      </c>
      <c r="C296" s="4" t="s">
        <v>31</v>
      </c>
      <c r="D296" s="4">
        <v>19.0</v>
      </c>
    </row>
    <row r="297" ht="15.75" customHeight="1">
      <c r="A297" s="3">
        <v>45744.0</v>
      </c>
      <c r="B297" s="4" t="s">
        <v>132</v>
      </c>
      <c r="C297" s="4" t="s">
        <v>26</v>
      </c>
      <c r="D297" s="4">
        <v>24.0</v>
      </c>
    </row>
    <row r="298" ht="15.75" customHeight="1">
      <c r="A298" s="3">
        <v>45715.0</v>
      </c>
      <c r="B298" s="4" t="s">
        <v>87</v>
      </c>
      <c r="C298" s="4" t="s">
        <v>39</v>
      </c>
      <c r="D298" s="4">
        <v>66.0</v>
      </c>
    </row>
    <row r="299" ht="15.75" customHeight="1">
      <c r="A299" s="3">
        <v>45735.0</v>
      </c>
      <c r="B299" s="4" t="s">
        <v>45</v>
      </c>
      <c r="C299" s="4" t="s">
        <v>24</v>
      </c>
      <c r="D299" s="4">
        <v>37.0</v>
      </c>
    </row>
    <row r="300" ht="15.75" customHeight="1">
      <c r="A300" s="3">
        <v>45721.0</v>
      </c>
      <c r="B300" s="4" t="s">
        <v>84</v>
      </c>
      <c r="C300" s="4" t="s">
        <v>85</v>
      </c>
      <c r="D300" s="4">
        <v>3.0</v>
      </c>
    </row>
    <row r="301" ht="15.75" customHeight="1">
      <c r="A301" s="3">
        <v>45712.0</v>
      </c>
      <c r="B301" s="4" t="s">
        <v>70</v>
      </c>
      <c r="C301" s="4" t="s">
        <v>52</v>
      </c>
      <c r="D301" s="4">
        <v>55.0</v>
      </c>
    </row>
    <row r="302" ht="15.75" customHeight="1">
      <c r="A302" s="3">
        <v>45732.0</v>
      </c>
      <c r="B302" s="4" t="s">
        <v>139</v>
      </c>
      <c r="C302" s="4" t="s">
        <v>109</v>
      </c>
      <c r="D302" s="4">
        <v>66.0</v>
      </c>
    </row>
    <row r="303" ht="15.75" customHeight="1">
      <c r="A303" s="3">
        <v>45710.0</v>
      </c>
      <c r="B303" s="4" t="s">
        <v>137</v>
      </c>
      <c r="C303" s="4" t="s">
        <v>20</v>
      </c>
      <c r="D303" s="4">
        <v>31.0</v>
      </c>
    </row>
    <row r="304" ht="15.75" customHeight="1">
      <c r="A304" s="3">
        <v>45658.0</v>
      </c>
      <c r="B304" s="4" t="s">
        <v>37</v>
      </c>
      <c r="C304" s="4" t="s">
        <v>8</v>
      </c>
      <c r="D304" s="4">
        <v>44.0</v>
      </c>
    </row>
    <row r="305" ht="15.75" customHeight="1">
      <c r="A305" s="3">
        <v>45703.0</v>
      </c>
      <c r="B305" s="4" t="s">
        <v>124</v>
      </c>
      <c r="C305" s="4" t="s">
        <v>26</v>
      </c>
      <c r="D305" s="4">
        <v>20.0</v>
      </c>
    </row>
    <row r="306" ht="15.75" customHeight="1">
      <c r="A306" s="3">
        <v>45679.0</v>
      </c>
      <c r="B306" s="4" t="s">
        <v>74</v>
      </c>
      <c r="C306" s="4" t="s">
        <v>75</v>
      </c>
      <c r="D306" s="4">
        <v>2.0</v>
      </c>
    </row>
    <row r="307" ht="15.75" customHeight="1">
      <c r="A307" s="3">
        <v>45708.0</v>
      </c>
      <c r="B307" s="4" t="s">
        <v>141</v>
      </c>
      <c r="C307" s="4" t="s">
        <v>24</v>
      </c>
      <c r="D307" s="4">
        <v>39.0</v>
      </c>
    </row>
    <row r="308" ht="15.75" customHeight="1">
      <c r="A308" s="3">
        <v>45746.0</v>
      </c>
      <c r="B308" s="4" t="s">
        <v>72</v>
      </c>
      <c r="C308" s="4" t="s">
        <v>13</v>
      </c>
      <c r="D308" s="4">
        <v>39.0</v>
      </c>
    </row>
    <row r="309" ht="15.75" customHeight="1">
      <c r="A309" s="3">
        <v>45684.0</v>
      </c>
      <c r="B309" s="4" t="s">
        <v>122</v>
      </c>
      <c r="C309" s="4" t="s">
        <v>26</v>
      </c>
      <c r="D309" s="4">
        <v>41.0</v>
      </c>
    </row>
    <row r="310" ht="15.75" customHeight="1">
      <c r="A310" s="3">
        <v>45695.0</v>
      </c>
      <c r="B310" s="4" t="s">
        <v>92</v>
      </c>
      <c r="C310" s="4" t="s">
        <v>82</v>
      </c>
      <c r="D310" s="4">
        <v>44.0</v>
      </c>
    </row>
    <row r="311" ht="15.75" customHeight="1">
      <c r="A311" s="3">
        <v>45743.0</v>
      </c>
      <c r="B311" s="4" t="s">
        <v>66</v>
      </c>
      <c r="C311" s="4" t="s">
        <v>52</v>
      </c>
      <c r="D311" s="4">
        <v>12.0</v>
      </c>
    </row>
    <row r="312" ht="15.75" customHeight="1">
      <c r="A312" s="3">
        <v>45684.0</v>
      </c>
      <c r="B312" s="4" t="s">
        <v>72</v>
      </c>
      <c r="C312" s="4" t="s">
        <v>13</v>
      </c>
      <c r="D312" s="4">
        <v>11.0</v>
      </c>
    </row>
    <row r="313" ht="15.75" customHeight="1">
      <c r="A313" s="3">
        <v>45733.0</v>
      </c>
      <c r="B313" s="4" t="s">
        <v>137</v>
      </c>
      <c r="C313" s="4" t="s">
        <v>20</v>
      </c>
      <c r="D313" s="4">
        <v>25.0</v>
      </c>
    </row>
    <row r="314" ht="15.75" customHeight="1">
      <c r="A314" s="3">
        <v>45727.0</v>
      </c>
      <c r="B314" s="4" t="s">
        <v>78</v>
      </c>
      <c r="C314" s="4" t="s">
        <v>79</v>
      </c>
      <c r="D314" s="4">
        <v>59.0</v>
      </c>
    </row>
    <row r="315" ht="15.75" customHeight="1">
      <c r="A315" s="3">
        <v>45677.0</v>
      </c>
      <c r="B315" s="4" t="s">
        <v>34</v>
      </c>
      <c r="C315" s="4" t="s">
        <v>28</v>
      </c>
      <c r="D315" s="4">
        <v>6.0</v>
      </c>
    </row>
    <row r="316" ht="15.75" customHeight="1">
      <c r="A316" s="3">
        <v>45662.0</v>
      </c>
      <c r="B316" s="4" t="s">
        <v>71</v>
      </c>
      <c r="C316" s="4" t="s">
        <v>20</v>
      </c>
      <c r="D316" s="4">
        <v>62.0</v>
      </c>
    </row>
    <row r="317" ht="15.75" customHeight="1">
      <c r="A317" s="3">
        <v>45740.0</v>
      </c>
      <c r="B317" s="4" t="s">
        <v>21</v>
      </c>
      <c r="C317" s="4" t="s">
        <v>22</v>
      </c>
      <c r="D317" s="4">
        <v>39.0</v>
      </c>
    </row>
    <row r="318" ht="15.75" customHeight="1">
      <c r="A318" s="3">
        <v>45738.0</v>
      </c>
      <c r="B318" s="4" t="s">
        <v>30</v>
      </c>
      <c r="C318" s="4" t="s">
        <v>31</v>
      </c>
      <c r="D318" s="4">
        <v>2.0</v>
      </c>
    </row>
    <row r="319" ht="15.75" customHeight="1">
      <c r="A319" s="3">
        <v>45721.0</v>
      </c>
      <c r="B319" s="4" t="s">
        <v>45</v>
      </c>
      <c r="C319" s="4" t="s">
        <v>24</v>
      </c>
      <c r="D319" s="4">
        <v>39.0</v>
      </c>
    </row>
    <row r="320" ht="15.75" customHeight="1">
      <c r="A320" s="3">
        <v>45662.0</v>
      </c>
      <c r="B320" s="4" t="s">
        <v>53</v>
      </c>
      <c r="C320" s="4" t="s">
        <v>50</v>
      </c>
      <c r="D320" s="4">
        <v>60.0</v>
      </c>
    </row>
    <row r="321" ht="15.75" customHeight="1">
      <c r="A321" s="3">
        <v>45696.0</v>
      </c>
      <c r="B321" s="4" t="s">
        <v>29</v>
      </c>
      <c r="C321" s="4" t="s">
        <v>16</v>
      </c>
      <c r="D321" s="4">
        <v>62.0</v>
      </c>
    </row>
    <row r="322" ht="15.75" customHeight="1">
      <c r="A322" s="3">
        <v>45741.0</v>
      </c>
      <c r="B322" s="4" t="s">
        <v>57</v>
      </c>
      <c r="C322" s="4" t="s">
        <v>8</v>
      </c>
      <c r="D322" s="4">
        <v>78.0</v>
      </c>
    </row>
    <row r="323" ht="15.75" customHeight="1">
      <c r="A323" s="3">
        <v>45669.0</v>
      </c>
      <c r="B323" s="4" t="s">
        <v>120</v>
      </c>
      <c r="C323" s="4" t="s">
        <v>26</v>
      </c>
      <c r="D323" s="4">
        <v>45.0</v>
      </c>
    </row>
    <row r="324" ht="15.75" customHeight="1">
      <c r="A324" s="3">
        <v>45746.0</v>
      </c>
      <c r="B324" s="4" t="s">
        <v>6</v>
      </c>
      <c r="C324" s="4" t="s">
        <v>5</v>
      </c>
      <c r="D324" s="4">
        <v>67.0</v>
      </c>
    </row>
    <row r="325" ht="15.75" customHeight="1">
      <c r="A325" s="3">
        <v>45692.0</v>
      </c>
      <c r="B325" s="4" t="s">
        <v>86</v>
      </c>
      <c r="C325" s="4" t="s">
        <v>26</v>
      </c>
      <c r="D325" s="4">
        <v>51.0</v>
      </c>
    </row>
    <row r="326" ht="15.75" customHeight="1">
      <c r="A326" s="3">
        <v>45667.0</v>
      </c>
      <c r="B326" s="4" t="s">
        <v>86</v>
      </c>
      <c r="C326" s="4" t="s">
        <v>26</v>
      </c>
      <c r="D326" s="4">
        <v>75.0</v>
      </c>
    </row>
    <row r="327" ht="15.75" customHeight="1">
      <c r="A327" s="3">
        <v>45667.0</v>
      </c>
      <c r="B327" s="4" t="s">
        <v>19</v>
      </c>
      <c r="C327" s="4" t="s">
        <v>20</v>
      </c>
      <c r="D327" s="4">
        <v>31.0</v>
      </c>
    </row>
    <row r="328" ht="15.75" customHeight="1">
      <c r="A328" s="3">
        <v>45664.0</v>
      </c>
      <c r="B328" s="4" t="s">
        <v>93</v>
      </c>
      <c r="C328" s="4" t="s">
        <v>82</v>
      </c>
      <c r="D328" s="4">
        <v>27.0</v>
      </c>
    </row>
    <row r="329" ht="15.75" customHeight="1">
      <c r="A329" s="3">
        <v>45732.0</v>
      </c>
      <c r="B329" s="4" t="s">
        <v>32</v>
      </c>
      <c r="C329" s="4" t="s">
        <v>22</v>
      </c>
      <c r="D329" s="4">
        <v>59.0</v>
      </c>
    </row>
    <row r="330" ht="15.75" customHeight="1">
      <c r="A330" s="3">
        <v>45680.0</v>
      </c>
      <c r="B330" s="4" t="s">
        <v>129</v>
      </c>
      <c r="C330" s="4" t="s">
        <v>41</v>
      </c>
      <c r="D330" s="4">
        <v>48.0</v>
      </c>
    </row>
    <row r="331" ht="15.75" customHeight="1">
      <c r="A331" s="3">
        <v>45738.0</v>
      </c>
      <c r="B331" s="4" t="s">
        <v>81</v>
      </c>
      <c r="C331" s="4" t="s">
        <v>82</v>
      </c>
      <c r="D331" s="4">
        <v>64.0</v>
      </c>
    </row>
    <row r="332" ht="15.75" customHeight="1">
      <c r="A332" s="3">
        <v>45746.0</v>
      </c>
      <c r="B332" s="4" t="s">
        <v>66</v>
      </c>
      <c r="C332" s="4" t="s">
        <v>52</v>
      </c>
      <c r="D332" s="4">
        <v>77.0</v>
      </c>
    </row>
    <row r="333" ht="15.75" customHeight="1">
      <c r="A333" s="3">
        <v>45683.0</v>
      </c>
      <c r="B333" s="4" t="s">
        <v>93</v>
      </c>
      <c r="C333" s="4" t="s">
        <v>82</v>
      </c>
      <c r="D333" s="4">
        <v>79.0</v>
      </c>
    </row>
    <row r="334" ht="15.75" customHeight="1">
      <c r="A334" s="3">
        <v>45706.0</v>
      </c>
      <c r="B334" s="4" t="s">
        <v>104</v>
      </c>
      <c r="C334" s="4" t="s">
        <v>5</v>
      </c>
      <c r="D334" s="4">
        <v>68.0</v>
      </c>
    </row>
    <row r="335" ht="15.75" customHeight="1">
      <c r="A335" s="3">
        <v>45694.0</v>
      </c>
      <c r="B335" s="4" t="s">
        <v>89</v>
      </c>
      <c r="C335" s="4" t="s">
        <v>79</v>
      </c>
      <c r="D335" s="4">
        <v>29.0</v>
      </c>
    </row>
    <row r="336" ht="15.75" customHeight="1">
      <c r="A336" s="3">
        <v>45738.0</v>
      </c>
      <c r="B336" s="4" t="s">
        <v>115</v>
      </c>
      <c r="C336" s="4" t="s">
        <v>50</v>
      </c>
      <c r="D336" s="4">
        <v>20.0</v>
      </c>
    </row>
    <row r="337" ht="15.75" customHeight="1">
      <c r="A337" s="3">
        <v>45709.0</v>
      </c>
      <c r="B337" s="4" t="s">
        <v>112</v>
      </c>
      <c r="C337" s="4" t="s">
        <v>31</v>
      </c>
      <c r="D337" s="4">
        <v>55.0</v>
      </c>
    </row>
    <row r="338" ht="15.75" customHeight="1">
      <c r="A338" s="3">
        <v>45725.0</v>
      </c>
      <c r="B338" s="4" t="s">
        <v>17</v>
      </c>
      <c r="C338" s="4" t="s">
        <v>16</v>
      </c>
      <c r="D338" s="4">
        <v>53.0</v>
      </c>
    </row>
    <row r="339" ht="15.75" customHeight="1">
      <c r="A339" s="3">
        <v>45734.0</v>
      </c>
      <c r="B339" s="4" t="s">
        <v>135</v>
      </c>
      <c r="C339" s="4" t="s">
        <v>62</v>
      </c>
      <c r="D339" s="4">
        <v>15.0</v>
      </c>
    </row>
    <row r="340" ht="15.75" customHeight="1">
      <c r="A340" s="3">
        <v>45667.0</v>
      </c>
      <c r="B340" s="4" t="s">
        <v>108</v>
      </c>
      <c r="C340" s="4" t="s">
        <v>109</v>
      </c>
      <c r="D340" s="4">
        <v>47.0</v>
      </c>
    </row>
    <row r="341" ht="15.75" customHeight="1">
      <c r="A341" s="3">
        <v>45661.0</v>
      </c>
      <c r="B341" s="4" t="s">
        <v>130</v>
      </c>
      <c r="C341" s="4" t="s">
        <v>52</v>
      </c>
      <c r="D341" s="4">
        <v>33.0</v>
      </c>
    </row>
    <row r="342" ht="15.75" customHeight="1">
      <c r="A342" s="3">
        <v>45667.0</v>
      </c>
      <c r="B342" s="4" t="s">
        <v>94</v>
      </c>
      <c r="C342" s="4" t="s">
        <v>52</v>
      </c>
      <c r="D342" s="4">
        <v>14.0</v>
      </c>
    </row>
    <row r="343" ht="15.75" customHeight="1">
      <c r="A343" s="3">
        <v>45721.0</v>
      </c>
      <c r="B343" s="4" t="s">
        <v>69</v>
      </c>
      <c r="C343" s="4" t="s">
        <v>24</v>
      </c>
      <c r="D343" s="4">
        <v>9.0</v>
      </c>
    </row>
    <row r="344" ht="15.75" customHeight="1">
      <c r="A344" s="3">
        <v>45688.0</v>
      </c>
      <c r="B344" s="4" t="s">
        <v>30</v>
      </c>
      <c r="C344" s="4" t="s">
        <v>31</v>
      </c>
      <c r="D344" s="4">
        <v>23.0</v>
      </c>
    </row>
    <row r="345" ht="15.75" customHeight="1">
      <c r="A345" s="3">
        <v>45720.0</v>
      </c>
      <c r="B345" s="4" t="s">
        <v>23</v>
      </c>
      <c r="C345" s="4" t="s">
        <v>24</v>
      </c>
      <c r="D345" s="4">
        <v>70.0</v>
      </c>
    </row>
    <row r="346" ht="15.75" customHeight="1">
      <c r="A346" s="3">
        <v>45704.0</v>
      </c>
      <c r="B346" s="4" t="s">
        <v>74</v>
      </c>
      <c r="C346" s="4" t="s">
        <v>75</v>
      </c>
      <c r="D346" s="4">
        <v>47.0</v>
      </c>
    </row>
    <row r="347" ht="15.75" customHeight="1">
      <c r="A347" s="3">
        <v>45744.0</v>
      </c>
      <c r="B347" s="4" t="s">
        <v>119</v>
      </c>
      <c r="C347" s="4" t="s">
        <v>16</v>
      </c>
      <c r="D347" s="4">
        <v>55.0</v>
      </c>
    </row>
    <row r="348" ht="15.75" customHeight="1">
      <c r="A348" s="3">
        <v>45727.0</v>
      </c>
      <c r="B348" s="4" t="s">
        <v>83</v>
      </c>
      <c r="C348" s="4" t="s">
        <v>5</v>
      </c>
      <c r="D348" s="4">
        <v>67.0</v>
      </c>
    </row>
    <row r="349" ht="15.75" customHeight="1">
      <c r="A349" s="3">
        <v>45661.0</v>
      </c>
      <c r="B349" s="4" t="s">
        <v>123</v>
      </c>
      <c r="C349" s="4" t="s">
        <v>79</v>
      </c>
      <c r="D349" s="4">
        <v>76.0</v>
      </c>
    </row>
    <row r="350" ht="15.75" customHeight="1">
      <c r="A350" s="3">
        <v>45706.0</v>
      </c>
      <c r="B350" s="4" t="s">
        <v>73</v>
      </c>
      <c r="C350" s="4" t="s">
        <v>13</v>
      </c>
      <c r="D350" s="4">
        <v>42.0</v>
      </c>
    </row>
    <row r="351" ht="15.75" customHeight="1">
      <c r="A351" s="3">
        <v>45667.0</v>
      </c>
      <c r="B351" s="4" t="s">
        <v>94</v>
      </c>
      <c r="C351" s="4" t="s">
        <v>52</v>
      </c>
      <c r="D351" s="4">
        <v>8.0</v>
      </c>
    </row>
    <row r="352" ht="15.75" customHeight="1">
      <c r="A352" s="3">
        <v>45699.0</v>
      </c>
      <c r="B352" s="4" t="s">
        <v>42</v>
      </c>
      <c r="C352" s="4" t="s">
        <v>24</v>
      </c>
      <c r="D352" s="4">
        <v>75.0</v>
      </c>
    </row>
    <row r="353" ht="15.75" customHeight="1">
      <c r="A353" s="3">
        <v>45731.0</v>
      </c>
      <c r="B353" s="4" t="s">
        <v>117</v>
      </c>
      <c r="C353" s="4" t="s">
        <v>28</v>
      </c>
      <c r="D353" s="4">
        <v>24.0</v>
      </c>
    </row>
    <row r="354" ht="15.75" customHeight="1">
      <c r="A354" s="3">
        <v>45744.0</v>
      </c>
      <c r="B354" s="4" t="s">
        <v>46</v>
      </c>
      <c r="C354" s="4" t="s">
        <v>20</v>
      </c>
      <c r="D354" s="4">
        <v>38.0</v>
      </c>
    </row>
    <row r="355" ht="15.75" customHeight="1">
      <c r="A355" s="3">
        <v>45690.0</v>
      </c>
      <c r="B355" s="4" t="s">
        <v>87</v>
      </c>
      <c r="C355" s="4" t="s">
        <v>39</v>
      </c>
      <c r="D355" s="4">
        <v>77.0</v>
      </c>
    </row>
    <row r="356" ht="15.75" customHeight="1">
      <c r="A356" s="3">
        <v>45708.0</v>
      </c>
      <c r="B356" s="4" t="s">
        <v>49</v>
      </c>
      <c r="C356" s="4" t="s">
        <v>50</v>
      </c>
      <c r="D356" s="4">
        <v>1.0</v>
      </c>
    </row>
    <row r="357" ht="15.75" customHeight="1">
      <c r="A357" s="3">
        <v>45737.0</v>
      </c>
      <c r="B357" s="4" t="s">
        <v>43</v>
      </c>
      <c r="C357" s="4" t="s">
        <v>16</v>
      </c>
      <c r="D357" s="4">
        <v>71.0</v>
      </c>
    </row>
    <row r="358" ht="15.75" customHeight="1">
      <c r="A358" s="3">
        <v>45734.0</v>
      </c>
      <c r="B358" s="4" t="s">
        <v>76</v>
      </c>
      <c r="C358" s="4" t="s">
        <v>22</v>
      </c>
      <c r="D358" s="4">
        <v>58.0</v>
      </c>
    </row>
    <row r="359" ht="15.75" customHeight="1">
      <c r="A359" s="3">
        <v>45726.0</v>
      </c>
      <c r="B359" s="4" t="s">
        <v>54</v>
      </c>
      <c r="C359" s="4" t="s">
        <v>22</v>
      </c>
      <c r="D359" s="4">
        <v>65.0</v>
      </c>
    </row>
    <row r="360" ht="15.75" customHeight="1">
      <c r="A360" s="3">
        <v>45694.0</v>
      </c>
      <c r="B360" s="4" t="s">
        <v>124</v>
      </c>
      <c r="C360" s="4" t="s">
        <v>26</v>
      </c>
      <c r="D360" s="4">
        <v>12.0</v>
      </c>
    </row>
    <row r="361" ht="15.75" customHeight="1">
      <c r="A361" s="3">
        <v>45725.0</v>
      </c>
      <c r="B361" s="4" t="s">
        <v>133</v>
      </c>
      <c r="C361" s="4" t="s">
        <v>24</v>
      </c>
      <c r="D361" s="4">
        <v>58.0</v>
      </c>
    </row>
    <row r="362" ht="15.75" customHeight="1">
      <c r="A362" s="3">
        <v>45670.0</v>
      </c>
      <c r="B362" s="4" t="s">
        <v>129</v>
      </c>
      <c r="C362" s="4" t="s">
        <v>41</v>
      </c>
      <c r="D362" s="4">
        <v>6.0</v>
      </c>
    </row>
    <row r="363" ht="15.75" customHeight="1">
      <c r="A363" s="3">
        <v>45664.0</v>
      </c>
      <c r="B363" s="4" t="s">
        <v>95</v>
      </c>
      <c r="C363" s="4" t="s">
        <v>39</v>
      </c>
      <c r="D363" s="4">
        <v>16.0</v>
      </c>
    </row>
    <row r="364" ht="15.75" customHeight="1">
      <c r="A364" s="3">
        <v>45685.0</v>
      </c>
      <c r="B364" s="4" t="s">
        <v>34</v>
      </c>
      <c r="C364" s="4" t="s">
        <v>28</v>
      </c>
      <c r="D364" s="4">
        <v>69.0</v>
      </c>
    </row>
    <row r="365" ht="15.75" customHeight="1">
      <c r="A365" s="3">
        <v>45728.0</v>
      </c>
      <c r="B365" s="4" t="s">
        <v>81</v>
      </c>
      <c r="C365" s="4" t="s">
        <v>82</v>
      </c>
      <c r="D365" s="4">
        <v>18.0</v>
      </c>
    </row>
    <row r="366" ht="15.75" customHeight="1">
      <c r="A366" s="3">
        <v>45689.0</v>
      </c>
      <c r="B366" s="4" t="s">
        <v>99</v>
      </c>
      <c r="C366" s="4" t="s">
        <v>16</v>
      </c>
      <c r="D366" s="4">
        <v>26.0</v>
      </c>
    </row>
    <row r="367" ht="15.75" customHeight="1">
      <c r="A367" s="3">
        <v>45673.0</v>
      </c>
      <c r="B367" s="4" t="s">
        <v>80</v>
      </c>
      <c r="C367" s="4" t="s">
        <v>22</v>
      </c>
      <c r="D367" s="4">
        <v>62.0</v>
      </c>
    </row>
    <row r="368" ht="15.75" customHeight="1">
      <c r="A368" s="3">
        <v>45715.0</v>
      </c>
      <c r="B368" s="4" t="s">
        <v>116</v>
      </c>
      <c r="C368" s="4" t="s">
        <v>82</v>
      </c>
      <c r="D368" s="4">
        <v>18.0</v>
      </c>
    </row>
    <row r="369" ht="15.75" customHeight="1">
      <c r="A369" s="3">
        <v>45667.0</v>
      </c>
      <c r="B369" s="4" t="s">
        <v>78</v>
      </c>
      <c r="C369" s="4" t="s">
        <v>79</v>
      </c>
      <c r="D369" s="4">
        <v>5.0</v>
      </c>
    </row>
    <row r="370" ht="15.75" customHeight="1">
      <c r="A370" s="3">
        <v>45684.0</v>
      </c>
      <c r="B370" s="4" t="s">
        <v>123</v>
      </c>
      <c r="C370" s="4" t="s">
        <v>79</v>
      </c>
      <c r="D370" s="4">
        <v>64.0</v>
      </c>
    </row>
    <row r="371" ht="15.75" customHeight="1">
      <c r="A371" s="3">
        <v>45737.0</v>
      </c>
      <c r="B371" s="4" t="s">
        <v>23</v>
      </c>
      <c r="C371" s="4" t="s">
        <v>24</v>
      </c>
      <c r="D371" s="4">
        <v>32.0</v>
      </c>
    </row>
    <row r="372" ht="15.75" customHeight="1">
      <c r="A372" s="3">
        <v>45681.0</v>
      </c>
      <c r="B372" s="4" t="s">
        <v>21</v>
      </c>
      <c r="C372" s="4" t="s">
        <v>22</v>
      </c>
      <c r="D372" s="4">
        <v>54.0</v>
      </c>
    </row>
    <row r="373" ht="15.75" customHeight="1">
      <c r="A373" s="3">
        <v>45702.0</v>
      </c>
      <c r="B373" s="4" t="s">
        <v>134</v>
      </c>
      <c r="C373" s="4" t="s">
        <v>85</v>
      </c>
      <c r="D373" s="4">
        <v>1.0</v>
      </c>
    </row>
    <row r="374" ht="15.75" customHeight="1">
      <c r="A374" s="3">
        <v>45686.0</v>
      </c>
      <c r="B374" s="4" t="s">
        <v>141</v>
      </c>
      <c r="C374" s="4" t="s">
        <v>24</v>
      </c>
      <c r="D374" s="4">
        <v>44.0</v>
      </c>
    </row>
    <row r="375" ht="15.75" customHeight="1">
      <c r="A375" s="3">
        <v>45696.0</v>
      </c>
      <c r="B375" s="4" t="s">
        <v>49</v>
      </c>
      <c r="C375" s="4" t="s">
        <v>50</v>
      </c>
      <c r="D375" s="4">
        <v>39.0</v>
      </c>
    </row>
    <row r="376" ht="15.75" customHeight="1">
      <c r="A376" s="3">
        <v>45682.0</v>
      </c>
      <c r="B376" s="4" t="s">
        <v>122</v>
      </c>
      <c r="C376" s="4" t="s">
        <v>26</v>
      </c>
      <c r="D376" s="4">
        <v>29.0</v>
      </c>
    </row>
    <row r="377" ht="15.75" customHeight="1">
      <c r="A377" s="3">
        <v>45719.0</v>
      </c>
      <c r="B377" s="4" t="s">
        <v>74</v>
      </c>
      <c r="C377" s="4" t="s">
        <v>75</v>
      </c>
      <c r="D377" s="4">
        <v>20.0</v>
      </c>
    </row>
    <row r="378" ht="15.75" customHeight="1">
      <c r="A378" s="3">
        <v>45687.0</v>
      </c>
      <c r="B378" s="4" t="s">
        <v>34</v>
      </c>
      <c r="C378" s="4" t="s">
        <v>28</v>
      </c>
      <c r="D378" s="4">
        <v>73.0</v>
      </c>
    </row>
    <row r="379" ht="15.75" customHeight="1">
      <c r="A379" s="3">
        <v>45676.0</v>
      </c>
      <c r="B379" s="4" t="s">
        <v>59</v>
      </c>
      <c r="C379" s="4" t="s">
        <v>16</v>
      </c>
      <c r="D379" s="4">
        <v>37.0</v>
      </c>
    </row>
    <row r="380" ht="15.75" customHeight="1">
      <c r="A380" s="3">
        <v>45721.0</v>
      </c>
      <c r="B380" s="4" t="s">
        <v>95</v>
      </c>
      <c r="C380" s="4" t="s">
        <v>39</v>
      </c>
      <c r="D380" s="4">
        <v>14.0</v>
      </c>
    </row>
    <row r="381" ht="15.75" customHeight="1">
      <c r="A381" s="3">
        <v>45691.0</v>
      </c>
      <c r="B381" s="4" t="s">
        <v>71</v>
      </c>
      <c r="C381" s="4" t="s">
        <v>20</v>
      </c>
      <c r="D381" s="4">
        <v>5.0</v>
      </c>
    </row>
    <row r="382" ht="15.75" customHeight="1">
      <c r="A382" s="3">
        <v>45664.0</v>
      </c>
      <c r="B382" s="4" t="s">
        <v>48</v>
      </c>
      <c r="C382" s="4" t="s">
        <v>22</v>
      </c>
      <c r="D382" s="4">
        <v>47.0</v>
      </c>
    </row>
    <row r="383" ht="15.75" customHeight="1">
      <c r="A383" s="3">
        <v>45685.0</v>
      </c>
      <c r="B383" s="4" t="s">
        <v>112</v>
      </c>
      <c r="C383" s="4" t="s">
        <v>31</v>
      </c>
      <c r="D383" s="4">
        <v>5.0</v>
      </c>
    </row>
    <row r="384" ht="15.75" customHeight="1">
      <c r="A384" s="3">
        <v>45729.0</v>
      </c>
      <c r="B384" s="4" t="s">
        <v>143</v>
      </c>
      <c r="C384" s="4" t="s">
        <v>16</v>
      </c>
      <c r="D384" s="4">
        <v>32.0</v>
      </c>
    </row>
    <row r="385" ht="15.75" customHeight="1">
      <c r="A385" s="3">
        <v>45668.0</v>
      </c>
      <c r="B385" s="4" t="s">
        <v>120</v>
      </c>
      <c r="C385" s="4" t="s">
        <v>26</v>
      </c>
      <c r="D385" s="4">
        <v>26.0</v>
      </c>
    </row>
    <row r="386" ht="15.75" customHeight="1">
      <c r="A386" s="3">
        <v>45658.0</v>
      </c>
      <c r="B386" s="4" t="s">
        <v>129</v>
      </c>
      <c r="C386" s="4" t="s">
        <v>41</v>
      </c>
      <c r="D386" s="4">
        <v>14.0</v>
      </c>
    </row>
    <row r="387" ht="15.75" customHeight="1">
      <c r="A387" s="3">
        <v>45679.0</v>
      </c>
      <c r="B387" s="4" t="s">
        <v>121</v>
      </c>
      <c r="C387" s="4" t="s">
        <v>50</v>
      </c>
      <c r="D387" s="4">
        <v>53.0</v>
      </c>
    </row>
    <row r="388" ht="15.75" customHeight="1">
      <c r="A388" s="3">
        <v>45657.0</v>
      </c>
      <c r="B388" s="4" t="s">
        <v>72</v>
      </c>
      <c r="C388" s="4" t="s">
        <v>13</v>
      </c>
      <c r="D388" s="4">
        <v>69.0</v>
      </c>
    </row>
    <row r="389" ht="15.75" customHeight="1">
      <c r="A389" s="3">
        <v>45688.0</v>
      </c>
      <c r="B389" s="4" t="s">
        <v>19</v>
      </c>
      <c r="C389" s="4" t="s">
        <v>20</v>
      </c>
      <c r="D389" s="4">
        <v>31.0</v>
      </c>
    </row>
    <row r="390" ht="15.75" customHeight="1">
      <c r="A390" s="3">
        <v>45665.0</v>
      </c>
      <c r="B390" s="4" t="s">
        <v>124</v>
      </c>
      <c r="C390" s="4" t="s">
        <v>26</v>
      </c>
      <c r="D390" s="4">
        <v>38.0</v>
      </c>
    </row>
    <row r="391" ht="15.75" customHeight="1">
      <c r="A391" s="3">
        <v>45727.0</v>
      </c>
      <c r="B391" s="4" t="s">
        <v>103</v>
      </c>
      <c r="C391" s="4" t="s">
        <v>26</v>
      </c>
      <c r="D391" s="4">
        <v>69.0</v>
      </c>
    </row>
    <row r="392" ht="15.75" customHeight="1">
      <c r="A392" s="3">
        <v>45684.0</v>
      </c>
      <c r="B392" s="4" t="s">
        <v>123</v>
      </c>
      <c r="C392" s="4" t="s">
        <v>79</v>
      </c>
      <c r="D392" s="4">
        <v>47.0</v>
      </c>
    </row>
    <row r="393" ht="15.75" customHeight="1">
      <c r="A393" s="3">
        <v>45657.0</v>
      </c>
      <c r="B393" s="4" t="s">
        <v>17</v>
      </c>
      <c r="C393" s="4" t="s">
        <v>16</v>
      </c>
      <c r="D393" s="4">
        <v>33.0</v>
      </c>
    </row>
    <row r="394" ht="15.75" customHeight="1">
      <c r="A394" s="3">
        <v>45673.0</v>
      </c>
      <c r="B394" s="4" t="s">
        <v>55</v>
      </c>
      <c r="C394" s="4" t="s">
        <v>24</v>
      </c>
      <c r="D394" s="4">
        <v>80.0</v>
      </c>
    </row>
    <row r="395" ht="15.75" customHeight="1">
      <c r="A395" s="3">
        <v>45699.0</v>
      </c>
      <c r="B395" s="4" t="s">
        <v>136</v>
      </c>
      <c r="C395" s="4" t="s">
        <v>79</v>
      </c>
      <c r="D395" s="4">
        <v>43.0</v>
      </c>
    </row>
    <row r="396" ht="15.75" customHeight="1">
      <c r="A396" s="3">
        <v>45696.0</v>
      </c>
      <c r="B396" s="4" t="s">
        <v>68</v>
      </c>
      <c r="C396" s="4" t="s">
        <v>62</v>
      </c>
      <c r="D396" s="4">
        <v>24.0</v>
      </c>
    </row>
    <row r="397" ht="15.75" customHeight="1">
      <c r="A397" s="3">
        <v>45726.0</v>
      </c>
      <c r="B397" s="4" t="s">
        <v>7</v>
      </c>
      <c r="C397" s="4" t="s">
        <v>8</v>
      </c>
      <c r="D397" s="4">
        <v>20.0</v>
      </c>
    </row>
    <row r="398" ht="15.75" customHeight="1">
      <c r="A398" s="3">
        <v>45670.0</v>
      </c>
      <c r="B398" s="4" t="s">
        <v>71</v>
      </c>
      <c r="C398" s="4" t="s">
        <v>20</v>
      </c>
      <c r="D398" s="4">
        <v>19.0</v>
      </c>
    </row>
    <row r="399" ht="15.75" customHeight="1">
      <c r="A399" s="3">
        <v>45677.0</v>
      </c>
      <c r="B399" s="4" t="s">
        <v>140</v>
      </c>
      <c r="C399" s="4" t="s">
        <v>85</v>
      </c>
      <c r="D399" s="4">
        <v>9.0</v>
      </c>
    </row>
    <row r="400" ht="15.75" customHeight="1">
      <c r="A400" s="3">
        <v>45742.0</v>
      </c>
      <c r="B400" s="4" t="s">
        <v>131</v>
      </c>
      <c r="C400" s="4" t="s">
        <v>26</v>
      </c>
      <c r="D400" s="4">
        <v>23.0</v>
      </c>
    </row>
    <row r="401" ht="15.75" customHeight="1">
      <c r="A401" s="3">
        <v>45738.0</v>
      </c>
      <c r="B401" s="4" t="s">
        <v>72</v>
      </c>
      <c r="C401" s="4" t="s">
        <v>13</v>
      </c>
      <c r="D401" s="4">
        <v>73.0</v>
      </c>
    </row>
    <row r="402" ht="15.75" customHeight="1">
      <c r="A402" s="3">
        <v>45669.0</v>
      </c>
      <c r="B402" s="4" t="s">
        <v>74</v>
      </c>
      <c r="C402" s="4" t="s">
        <v>75</v>
      </c>
      <c r="D402" s="4">
        <v>55.0</v>
      </c>
    </row>
    <row r="403" ht="15.75" customHeight="1">
      <c r="A403" s="3">
        <v>45738.0</v>
      </c>
      <c r="B403" s="4" t="s">
        <v>81</v>
      </c>
      <c r="C403" s="4" t="s">
        <v>82</v>
      </c>
      <c r="D403" s="4">
        <v>6.0</v>
      </c>
    </row>
    <row r="404" ht="15.75" customHeight="1">
      <c r="A404" s="3">
        <v>45686.0</v>
      </c>
      <c r="B404" s="4" t="s">
        <v>108</v>
      </c>
      <c r="C404" s="4" t="s">
        <v>109</v>
      </c>
      <c r="D404" s="4">
        <v>13.0</v>
      </c>
    </row>
    <row r="405" ht="15.75" customHeight="1">
      <c r="A405" s="3">
        <v>45719.0</v>
      </c>
      <c r="B405" s="4" t="s">
        <v>11</v>
      </c>
      <c r="C405" s="4" t="s">
        <v>5</v>
      </c>
      <c r="D405" s="4">
        <v>43.0</v>
      </c>
    </row>
    <row r="406" ht="15.75" customHeight="1">
      <c r="A406" s="3">
        <v>45746.0</v>
      </c>
      <c r="B406" s="4" t="s">
        <v>40</v>
      </c>
      <c r="C406" s="4" t="s">
        <v>41</v>
      </c>
      <c r="D406" s="4">
        <v>63.0</v>
      </c>
    </row>
    <row r="407" ht="15.75" customHeight="1">
      <c r="A407" s="3">
        <v>45658.0</v>
      </c>
      <c r="B407" s="4" t="s">
        <v>83</v>
      </c>
      <c r="C407" s="4" t="s">
        <v>5</v>
      </c>
      <c r="D407" s="4">
        <v>12.0</v>
      </c>
    </row>
    <row r="408" ht="15.75" customHeight="1">
      <c r="A408" s="3">
        <v>45673.0</v>
      </c>
      <c r="B408" s="4" t="s">
        <v>91</v>
      </c>
      <c r="C408" s="4" t="s">
        <v>26</v>
      </c>
      <c r="D408" s="4">
        <v>60.0</v>
      </c>
    </row>
    <row r="409" ht="15.75" customHeight="1">
      <c r="A409" s="3">
        <v>45704.0</v>
      </c>
      <c r="B409" s="4" t="s">
        <v>96</v>
      </c>
      <c r="C409" s="4" t="s">
        <v>50</v>
      </c>
      <c r="D409" s="4">
        <v>20.0</v>
      </c>
    </row>
    <row r="410" ht="15.75" customHeight="1">
      <c r="A410" s="3">
        <v>45685.0</v>
      </c>
      <c r="B410" s="4" t="s">
        <v>70</v>
      </c>
      <c r="C410" s="4" t="s">
        <v>52</v>
      </c>
      <c r="D410" s="4">
        <v>44.0</v>
      </c>
    </row>
    <row r="411" ht="15.75" customHeight="1">
      <c r="A411" s="3">
        <v>45693.0</v>
      </c>
      <c r="B411" s="4" t="s">
        <v>34</v>
      </c>
      <c r="C411" s="4" t="s">
        <v>28</v>
      </c>
      <c r="D411" s="4">
        <v>46.0</v>
      </c>
    </row>
    <row r="412" ht="15.75" customHeight="1">
      <c r="A412" s="3">
        <v>45677.0</v>
      </c>
      <c r="B412" s="4" t="s">
        <v>71</v>
      </c>
      <c r="C412" s="4" t="s">
        <v>20</v>
      </c>
      <c r="D412" s="4">
        <v>26.0</v>
      </c>
    </row>
    <row r="413" ht="15.75" customHeight="1">
      <c r="A413" s="3">
        <v>45725.0</v>
      </c>
      <c r="B413" s="4" t="s">
        <v>32</v>
      </c>
      <c r="C413" s="4" t="s">
        <v>22</v>
      </c>
      <c r="D413" s="4">
        <v>39.0</v>
      </c>
    </row>
    <row r="414" ht="15.75" customHeight="1">
      <c r="A414" s="3">
        <v>45690.0</v>
      </c>
      <c r="B414" s="4" t="s">
        <v>102</v>
      </c>
      <c r="C414" s="4" t="s">
        <v>41</v>
      </c>
      <c r="D414" s="4">
        <v>66.0</v>
      </c>
    </row>
    <row r="415" ht="15.75" customHeight="1">
      <c r="A415" s="3">
        <v>45726.0</v>
      </c>
      <c r="B415" s="4" t="s">
        <v>132</v>
      </c>
      <c r="C415" s="4" t="s">
        <v>26</v>
      </c>
      <c r="D415" s="4">
        <v>48.0</v>
      </c>
    </row>
    <row r="416" ht="15.75" customHeight="1">
      <c r="A416" s="3">
        <v>45676.0</v>
      </c>
      <c r="B416" s="4" t="s">
        <v>110</v>
      </c>
      <c r="C416" s="4" t="s">
        <v>8</v>
      </c>
      <c r="D416" s="4">
        <v>52.0</v>
      </c>
    </row>
    <row r="417" ht="15.75" customHeight="1">
      <c r="A417" s="3">
        <v>45726.0</v>
      </c>
      <c r="B417" s="4" t="s">
        <v>128</v>
      </c>
      <c r="C417" s="4" t="s">
        <v>82</v>
      </c>
      <c r="D417" s="4">
        <v>55.0</v>
      </c>
    </row>
    <row r="418" ht="15.75" customHeight="1">
      <c r="A418" s="3">
        <v>45700.0</v>
      </c>
      <c r="B418" s="4" t="s">
        <v>95</v>
      </c>
      <c r="C418" s="4" t="s">
        <v>39</v>
      </c>
      <c r="D418" s="4">
        <v>14.0</v>
      </c>
    </row>
    <row r="419" ht="15.75" customHeight="1">
      <c r="A419" s="3">
        <v>45695.0</v>
      </c>
      <c r="B419" s="4" t="s">
        <v>63</v>
      </c>
      <c r="C419" s="4" t="s">
        <v>26</v>
      </c>
      <c r="D419" s="4">
        <v>8.0</v>
      </c>
    </row>
    <row r="420" ht="15.75" customHeight="1">
      <c r="A420" s="3">
        <v>45697.0</v>
      </c>
      <c r="B420" s="4" t="s">
        <v>36</v>
      </c>
      <c r="C420" s="4" t="s">
        <v>22</v>
      </c>
      <c r="D420" s="4">
        <v>4.0</v>
      </c>
    </row>
    <row r="421" ht="15.75" customHeight="1">
      <c r="A421" s="3">
        <v>45728.0</v>
      </c>
      <c r="B421" s="4" t="s">
        <v>92</v>
      </c>
      <c r="C421" s="4" t="s">
        <v>82</v>
      </c>
      <c r="D421" s="4">
        <v>45.0</v>
      </c>
    </row>
    <row r="422" ht="15.75" customHeight="1">
      <c r="A422" s="3">
        <v>45722.0</v>
      </c>
      <c r="B422" s="4" t="s">
        <v>7</v>
      </c>
      <c r="C422" s="4" t="s">
        <v>8</v>
      </c>
      <c r="D422" s="4">
        <v>34.0</v>
      </c>
    </row>
    <row r="423" ht="15.75" customHeight="1">
      <c r="A423" s="3">
        <v>45726.0</v>
      </c>
      <c r="B423" s="4" t="s">
        <v>60</v>
      </c>
      <c r="C423" s="4" t="s">
        <v>24</v>
      </c>
      <c r="D423" s="4">
        <v>17.0</v>
      </c>
    </row>
    <row r="424" ht="15.75" customHeight="1">
      <c r="A424" s="3">
        <v>45722.0</v>
      </c>
      <c r="B424" s="4" t="s">
        <v>64</v>
      </c>
      <c r="C424" s="4" t="s">
        <v>41</v>
      </c>
      <c r="D424" s="4">
        <v>19.0</v>
      </c>
    </row>
    <row r="425" ht="15.75" customHeight="1">
      <c r="A425" s="3">
        <v>45692.0</v>
      </c>
      <c r="B425" s="4" t="s">
        <v>123</v>
      </c>
      <c r="C425" s="4" t="s">
        <v>79</v>
      </c>
      <c r="D425" s="4">
        <v>26.0</v>
      </c>
    </row>
    <row r="426" ht="15.75" customHeight="1">
      <c r="A426" s="3">
        <v>45738.0</v>
      </c>
      <c r="B426" s="4" t="s">
        <v>60</v>
      </c>
      <c r="C426" s="4" t="s">
        <v>24</v>
      </c>
      <c r="D426" s="4">
        <v>66.0</v>
      </c>
    </row>
    <row r="427" ht="15.75" customHeight="1">
      <c r="A427" s="3">
        <v>45662.0</v>
      </c>
      <c r="B427" s="4" t="s">
        <v>103</v>
      </c>
      <c r="C427" s="4" t="s">
        <v>26</v>
      </c>
      <c r="D427" s="4">
        <v>40.0</v>
      </c>
    </row>
    <row r="428" ht="15.75" customHeight="1">
      <c r="A428" s="3">
        <v>45692.0</v>
      </c>
      <c r="B428" s="4" t="s">
        <v>78</v>
      </c>
      <c r="C428" s="4" t="s">
        <v>79</v>
      </c>
      <c r="D428" s="4">
        <v>21.0</v>
      </c>
    </row>
    <row r="429" ht="15.75" customHeight="1">
      <c r="A429" s="3">
        <v>45687.0</v>
      </c>
      <c r="B429" s="4" t="s">
        <v>65</v>
      </c>
      <c r="C429" s="4" t="s">
        <v>5</v>
      </c>
      <c r="D429" s="4">
        <v>30.0</v>
      </c>
    </row>
    <row r="430" ht="15.75" customHeight="1">
      <c r="A430" s="3">
        <v>45711.0</v>
      </c>
      <c r="B430" s="4" t="s">
        <v>74</v>
      </c>
      <c r="C430" s="4" t="s">
        <v>75</v>
      </c>
      <c r="D430" s="4">
        <v>29.0</v>
      </c>
    </row>
    <row r="431" ht="15.75" customHeight="1">
      <c r="A431" s="3">
        <v>45694.0</v>
      </c>
      <c r="B431" s="4" t="s">
        <v>95</v>
      </c>
      <c r="C431" s="4" t="s">
        <v>39</v>
      </c>
      <c r="D431" s="4">
        <v>20.0</v>
      </c>
    </row>
    <row r="432" ht="15.75" customHeight="1">
      <c r="A432" s="3">
        <v>45741.0</v>
      </c>
      <c r="B432" s="4" t="s">
        <v>135</v>
      </c>
      <c r="C432" s="4" t="s">
        <v>62</v>
      </c>
      <c r="D432" s="4">
        <v>27.0</v>
      </c>
    </row>
    <row r="433" ht="15.75" customHeight="1">
      <c r="A433" s="3">
        <v>45693.0</v>
      </c>
      <c r="B433" s="4" t="s">
        <v>135</v>
      </c>
      <c r="C433" s="4" t="s">
        <v>62</v>
      </c>
      <c r="D433" s="4">
        <v>8.0</v>
      </c>
    </row>
    <row r="434" ht="15.75" customHeight="1">
      <c r="A434" s="3">
        <v>45737.0</v>
      </c>
      <c r="B434" s="4" t="s">
        <v>54</v>
      </c>
      <c r="C434" s="4" t="s">
        <v>22</v>
      </c>
      <c r="D434" s="4">
        <v>42.0</v>
      </c>
    </row>
    <row r="435" ht="15.75" customHeight="1">
      <c r="A435" s="3">
        <v>45723.0</v>
      </c>
      <c r="B435" s="4" t="s">
        <v>119</v>
      </c>
      <c r="C435" s="4" t="s">
        <v>16</v>
      </c>
      <c r="D435" s="4">
        <v>28.0</v>
      </c>
    </row>
    <row r="436" ht="15.75" customHeight="1">
      <c r="A436" s="3">
        <v>45739.0</v>
      </c>
      <c r="B436" s="4" t="s">
        <v>53</v>
      </c>
      <c r="C436" s="4" t="s">
        <v>50</v>
      </c>
      <c r="D436" s="4">
        <v>18.0</v>
      </c>
    </row>
    <row r="437" ht="15.75" customHeight="1">
      <c r="A437" s="3">
        <v>45678.0</v>
      </c>
      <c r="B437" s="4" t="s">
        <v>23</v>
      </c>
      <c r="C437" s="4" t="s">
        <v>24</v>
      </c>
      <c r="D437" s="4">
        <v>20.0</v>
      </c>
    </row>
    <row r="438" ht="15.75" customHeight="1">
      <c r="A438" s="3">
        <v>45695.0</v>
      </c>
      <c r="B438" s="4" t="s">
        <v>63</v>
      </c>
      <c r="C438" s="4" t="s">
        <v>26</v>
      </c>
      <c r="D438" s="4">
        <v>54.0</v>
      </c>
    </row>
    <row r="439" ht="15.75" customHeight="1">
      <c r="A439" s="3">
        <v>45688.0</v>
      </c>
      <c r="B439" s="4" t="s">
        <v>49</v>
      </c>
      <c r="C439" s="4" t="s">
        <v>50</v>
      </c>
      <c r="D439" s="4">
        <v>65.0</v>
      </c>
    </row>
    <row r="440" ht="15.75" customHeight="1">
      <c r="A440" s="3">
        <v>45692.0</v>
      </c>
      <c r="B440" s="4" t="s">
        <v>19</v>
      </c>
      <c r="C440" s="4" t="s">
        <v>20</v>
      </c>
      <c r="D440" s="4">
        <v>16.0</v>
      </c>
    </row>
    <row r="441" ht="15.75" customHeight="1">
      <c r="A441" s="3">
        <v>45723.0</v>
      </c>
      <c r="B441" s="4" t="s">
        <v>137</v>
      </c>
      <c r="C441" s="4" t="s">
        <v>20</v>
      </c>
      <c r="D441" s="4">
        <v>56.0</v>
      </c>
    </row>
    <row r="442" ht="15.75" customHeight="1">
      <c r="A442" s="3">
        <v>45709.0</v>
      </c>
      <c r="B442" s="4" t="s">
        <v>93</v>
      </c>
      <c r="C442" s="4" t="s">
        <v>82</v>
      </c>
      <c r="D442" s="4">
        <v>13.0</v>
      </c>
    </row>
    <row r="443" ht="15.75" customHeight="1">
      <c r="A443" s="3">
        <v>45733.0</v>
      </c>
      <c r="B443" s="4" t="s">
        <v>105</v>
      </c>
      <c r="C443" s="4" t="s">
        <v>79</v>
      </c>
      <c r="D443" s="4">
        <v>55.0</v>
      </c>
    </row>
    <row r="444" ht="15.75" customHeight="1">
      <c r="A444" s="3">
        <v>45690.0</v>
      </c>
      <c r="B444" s="4" t="s">
        <v>103</v>
      </c>
      <c r="C444" s="4" t="s">
        <v>26</v>
      </c>
      <c r="D444" s="4">
        <v>1.0</v>
      </c>
    </row>
    <row r="445" ht="15.75" customHeight="1">
      <c r="A445" s="3">
        <v>45670.0</v>
      </c>
      <c r="B445" s="4" t="s">
        <v>76</v>
      </c>
      <c r="C445" s="4" t="s">
        <v>22</v>
      </c>
      <c r="D445" s="4">
        <v>39.0</v>
      </c>
    </row>
    <row r="446" ht="15.75" customHeight="1">
      <c r="A446" s="3">
        <v>45746.0</v>
      </c>
      <c r="B446" s="4" t="s">
        <v>14</v>
      </c>
      <c r="C446" s="4" t="s">
        <v>8</v>
      </c>
      <c r="D446" s="4">
        <v>33.0</v>
      </c>
    </row>
    <row r="447" ht="15.75" customHeight="1">
      <c r="A447" s="3">
        <v>45660.0</v>
      </c>
      <c r="B447" s="4" t="s">
        <v>18</v>
      </c>
      <c r="C447" s="4" t="s">
        <v>13</v>
      </c>
      <c r="D447" s="4">
        <v>76.0</v>
      </c>
    </row>
    <row r="448" ht="15.75" customHeight="1">
      <c r="A448" s="3">
        <v>45725.0</v>
      </c>
      <c r="B448" s="4" t="s">
        <v>33</v>
      </c>
      <c r="C448" s="4" t="s">
        <v>28</v>
      </c>
      <c r="D448" s="4">
        <v>7.0</v>
      </c>
    </row>
    <row r="449" ht="15.75" customHeight="1">
      <c r="A449" s="3">
        <v>45715.0</v>
      </c>
      <c r="B449" s="4" t="s">
        <v>143</v>
      </c>
      <c r="C449" s="4" t="s">
        <v>16</v>
      </c>
      <c r="D449" s="4">
        <v>19.0</v>
      </c>
    </row>
    <row r="450" ht="15.75" customHeight="1">
      <c r="A450" s="3">
        <v>45690.0</v>
      </c>
      <c r="B450" s="4" t="s">
        <v>136</v>
      </c>
      <c r="C450" s="4" t="s">
        <v>79</v>
      </c>
      <c r="D450" s="4">
        <v>36.0</v>
      </c>
    </row>
    <row r="451" ht="15.75" customHeight="1">
      <c r="A451" s="3">
        <v>45678.0</v>
      </c>
      <c r="B451" s="4" t="s">
        <v>48</v>
      </c>
      <c r="C451" s="4" t="s">
        <v>22</v>
      </c>
      <c r="D451" s="4">
        <v>51.0</v>
      </c>
    </row>
    <row r="452" ht="15.75" customHeight="1">
      <c r="A452" s="3">
        <v>45728.0</v>
      </c>
      <c r="B452" s="4" t="s">
        <v>142</v>
      </c>
      <c r="C452" s="4" t="s">
        <v>5</v>
      </c>
      <c r="D452" s="4">
        <v>22.0</v>
      </c>
    </row>
    <row r="453" ht="15.75" customHeight="1">
      <c r="A453" s="3">
        <v>45746.0</v>
      </c>
      <c r="B453" s="4" t="s">
        <v>91</v>
      </c>
      <c r="C453" s="4" t="s">
        <v>26</v>
      </c>
      <c r="D453" s="4">
        <v>1.0</v>
      </c>
    </row>
    <row r="454" ht="15.75" customHeight="1">
      <c r="A454" s="3">
        <v>45695.0</v>
      </c>
      <c r="B454" s="4" t="s">
        <v>112</v>
      </c>
      <c r="C454" s="4" t="s">
        <v>31</v>
      </c>
      <c r="D454" s="4">
        <v>23.0</v>
      </c>
    </row>
    <row r="455" ht="15.75" customHeight="1">
      <c r="A455" s="3">
        <v>45733.0</v>
      </c>
      <c r="B455" s="4" t="s">
        <v>17</v>
      </c>
      <c r="C455" s="4" t="s">
        <v>16</v>
      </c>
      <c r="D455" s="4">
        <v>61.0</v>
      </c>
    </row>
    <row r="456" ht="15.75" customHeight="1">
      <c r="A456" s="3">
        <v>45684.0</v>
      </c>
      <c r="B456" s="4" t="s">
        <v>12</v>
      </c>
      <c r="C456" s="4" t="s">
        <v>13</v>
      </c>
      <c r="D456" s="4">
        <v>70.0</v>
      </c>
    </row>
    <row r="457" ht="15.75" customHeight="1">
      <c r="A457" s="3">
        <v>45739.0</v>
      </c>
      <c r="B457" s="4" t="s">
        <v>115</v>
      </c>
      <c r="C457" s="4" t="s">
        <v>50</v>
      </c>
      <c r="D457" s="4">
        <v>23.0</v>
      </c>
    </row>
    <row r="458" ht="15.75" customHeight="1">
      <c r="A458" s="3">
        <v>45736.0</v>
      </c>
      <c r="B458" s="4" t="s">
        <v>19</v>
      </c>
      <c r="C458" s="4" t="s">
        <v>20</v>
      </c>
      <c r="D458" s="4">
        <v>74.0</v>
      </c>
    </row>
    <row r="459" ht="15.75" customHeight="1">
      <c r="A459" s="3">
        <v>45746.0</v>
      </c>
      <c r="B459" s="4" t="s">
        <v>21</v>
      </c>
      <c r="C459" s="4" t="s">
        <v>22</v>
      </c>
      <c r="D459" s="4">
        <v>66.0</v>
      </c>
    </row>
    <row r="460" ht="15.75" customHeight="1">
      <c r="A460" s="3">
        <v>45741.0</v>
      </c>
      <c r="B460" s="4" t="s">
        <v>114</v>
      </c>
      <c r="C460" s="4" t="s">
        <v>75</v>
      </c>
      <c r="D460" s="4">
        <v>37.0</v>
      </c>
    </row>
    <row r="461" ht="15.75" customHeight="1">
      <c r="A461" s="3">
        <v>45705.0</v>
      </c>
      <c r="B461" s="4" t="s">
        <v>30</v>
      </c>
      <c r="C461" s="4" t="s">
        <v>31</v>
      </c>
      <c r="D461" s="4">
        <v>24.0</v>
      </c>
    </row>
    <row r="462" ht="15.75" customHeight="1">
      <c r="A462" s="3">
        <v>45669.0</v>
      </c>
      <c r="B462" s="4" t="s">
        <v>36</v>
      </c>
      <c r="C462" s="4" t="s">
        <v>22</v>
      </c>
      <c r="D462" s="4">
        <v>60.0</v>
      </c>
    </row>
    <row r="463" ht="15.75" customHeight="1">
      <c r="A463" s="3">
        <v>45712.0</v>
      </c>
      <c r="B463" s="4" t="s">
        <v>49</v>
      </c>
      <c r="C463" s="4" t="s">
        <v>50</v>
      </c>
      <c r="D463" s="4">
        <v>62.0</v>
      </c>
    </row>
    <row r="464" ht="15.75" customHeight="1">
      <c r="A464" s="3">
        <v>45657.0</v>
      </c>
      <c r="B464" s="4" t="s">
        <v>63</v>
      </c>
      <c r="C464" s="4" t="s">
        <v>26</v>
      </c>
      <c r="D464" s="4">
        <v>55.0</v>
      </c>
    </row>
    <row r="465" ht="15.75" customHeight="1">
      <c r="A465" s="3">
        <v>45667.0</v>
      </c>
      <c r="B465" s="4" t="s">
        <v>77</v>
      </c>
      <c r="C465" s="4" t="s">
        <v>50</v>
      </c>
      <c r="D465" s="4">
        <v>78.0</v>
      </c>
    </row>
    <row r="466" ht="15.75" customHeight="1">
      <c r="A466" s="3">
        <v>45669.0</v>
      </c>
      <c r="B466" s="4" t="s">
        <v>127</v>
      </c>
      <c r="C466" s="4" t="s">
        <v>22</v>
      </c>
      <c r="D466" s="4">
        <v>19.0</v>
      </c>
    </row>
    <row r="467" ht="15.75" customHeight="1">
      <c r="A467" s="3">
        <v>45731.0</v>
      </c>
      <c r="B467" s="4" t="s">
        <v>51</v>
      </c>
      <c r="C467" s="4" t="s">
        <v>52</v>
      </c>
      <c r="D467" s="4">
        <v>74.0</v>
      </c>
    </row>
    <row r="468" ht="15.75" customHeight="1">
      <c r="A468" s="3">
        <v>45662.0</v>
      </c>
      <c r="B468" s="4" t="s">
        <v>29</v>
      </c>
      <c r="C468" s="4" t="s">
        <v>16</v>
      </c>
      <c r="D468" s="4">
        <v>30.0</v>
      </c>
    </row>
    <row r="469" ht="15.75" customHeight="1">
      <c r="A469" s="3">
        <v>45685.0</v>
      </c>
      <c r="B469" s="4" t="s">
        <v>134</v>
      </c>
      <c r="C469" s="4" t="s">
        <v>85</v>
      </c>
      <c r="D469" s="4">
        <v>62.0</v>
      </c>
    </row>
    <row r="470" ht="15.75" customHeight="1">
      <c r="A470" s="3">
        <v>45704.0</v>
      </c>
      <c r="B470" s="4" t="s">
        <v>90</v>
      </c>
      <c r="C470" s="4" t="s">
        <v>39</v>
      </c>
      <c r="D470" s="4">
        <v>40.0</v>
      </c>
    </row>
    <row r="471" ht="15.75" customHeight="1">
      <c r="A471" s="3">
        <v>45700.0</v>
      </c>
      <c r="B471" s="4" t="s">
        <v>81</v>
      </c>
      <c r="C471" s="4" t="s">
        <v>82</v>
      </c>
      <c r="D471" s="4">
        <v>3.0</v>
      </c>
    </row>
    <row r="472" ht="15.75" customHeight="1">
      <c r="A472" s="3">
        <v>45680.0</v>
      </c>
      <c r="B472" s="4" t="s">
        <v>92</v>
      </c>
      <c r="C472" s="4" t="s">
        <v>82</v>
      </c>
      <c r="D472" s="4">
        <v>58.0</v>
      </c>
    </row>
    <row r="473" ht="15.75" customHeight="1">
      <c r="A473" s="3">
        <v>45723.0</v>
      </c>
      <c r="B473" s="4" t="s">
        <v>29</v>
      </c>
      <c r="C473" s="4" t="s">
        <v>16</v>
      </c>
      <c r="D473" s="4">
        <v>64.0</v>
      </c>
    </row>
    <row r="474" ht="15.75" customHeight="1">
      <c r="A474" s="3">
        <v>45710.0</v>
      </c>
      <c r="B474" s="4" t="s">
        <v>69</v>
      </c>
      <c r="C474" s="4" t="s">
        <v>24</v>
      </c>
      <c r="D474" s="4">
        <v>55.0</v>
      </c>
    </row>
    <row r="475" ht="15.75" customHeight="1">
      <c r="A475" s="3">
        <v>45723.0</v>
      </c>
      <c r="B475" s="4" t="s">
        <v>137</v>
      </c>
      <c r="C475" s="4" t="s">
        <v>20</v>
      </c>
      <c r="D475" s="4">
        <v>29.0</v>
      </c>
    </row>
    <row r="476" ht="15.75" customHeight="1">
      <c r="A476" s="3">
        <v>45728.0</v>
      </c>
      <c r="B476" s="4" t="s">
        <v>141</v>
      </c>
      <c r="C476" s="4" t="s">
        <v>24</v>
      </c>
      <c r="D476" s="4">
        <v>49.0</v>
      </c>
    </row>
    <row r="477" ht="15.75" customHeight="1">
      <c r="A477" s="3">
        <v>45718.0</v>
      </c>
      <c r="B477" s="4" t="s">
        <v>45</v>
      </c>
      <c r="C477" s="4" t="s">
        <v>24</v>
      </c>
      <c r="D477" s="4">
        <v>9.0</v>
      </c>
    </row>
    <row r="478" ht="15.75" customHeight="1">
      <c r="A478" s="3">
        <v>45664.0</v>
      </c>
      <c r="B478" s="4" t="s">
        <v>56</v>
      </c>
      <c r="C478" s="4" t="s">
        <v>5</v>
      </c>
      <c r="D478" s="4">
        <v>63.0</v>
      </c>
    </row>
    <row r="479" ht="15.75" customHeight="1">
      <c r="A479" s="3">
        <v>45666.0</v>
      </c>
      <c r="B479" s="4" t="s">
        <v>101</v>
      </c>
      <c r="C479" s="4" t="s">
        <v>24</v>
      </c>
      <c r="D479" s="4">
        <v>32.0</v>
      </c>
    </row>
    <row r="480" ht="15.75" customHeight="1">
      <c r="A480" s="3">
        <v>45660.0</v>
      </c>
      <c r="B480" s="4" t="s">
        <v>142</v>
      </c>
      <c r="C480" s="4" t="s">
        <v>5</v>
      </c>
      <c r="D480" s="4">
        <v>1.0</v>
      </c>
    </row>
    <row r="481" ht="15.75" customHeight="1">
      <c r="A481" s="3">
        <v>45685.0</v>
      </c>
      <c r="B481" s="4" t="s">
        <v>125</v>
      </c>
      <c r="C481" s="4" t="s">
        <v>20</v>
      </c>
      <c r="D481" s="4">
        <v>52.0</v>
      </c>
    </row>
    <row r="482" ht="15.75" customHeight="1">
      <c r="A482" s="3">
        <v>45745.0</v>
      </c>
      <c r="B482" s="4" t="s">
        <v>42</v>
      </c>
      <c r="C482" s="4" t="s">
        <v>24</v>
      </c>
      <c r="D482" s="4">
        <v>29.0</v>
      </c>
    </row>
    <row r="483" ht="15.75" customHeight="1">
      <c r="A483" s="3">
        <v>45694.0</v>
      </c>
      <c r="B483" s="4" t="s">
        <v>37</v>
      </c>
      <c r="C483" s="4" t="s">
        <v>8</v>
      </c>
      <c r="D483" s="4">
        <v>2.0</v>
      </c>
    </row>
    <row r="484" ht="15.75" customHeight="1">
      <c r="A484" s="3">
        <v>45708.0</v>
      </c>
      <c r="B484" s="4" t="s">
        <v>65</v>
      </c>
      <c r="C484" s="4" t="s">
        <v>5</v>
      </c>
      <c r="D484" s="4">
        <v>24.0</v>
      </c>
    </row>
    <row r="485" ht="15.75" customHeight="1">
      <c r="A485" s="3">
        <v>45733.0</v>
      </c>
      <c r="B485" s="4" t="s">
        <v>125</v>
      </c>
      <c r="C485" s="4" t="s">
        <v>20</v>
      </c>
      <c r="D485" s="4">
        <v>36.0</v>
      </c>
    </row>
    <row r="486" ht="15.75" customHeight="1">
      <c r="A486" s="3">
        <v>45672.0</v>
      </c>
      <c r="B486" s="4" t="s">
        <v>81</v>
      </c>
      <c r="C486" s="4" t="s">
        <v>82</v>
      </c>
      <c r="D486" s="4">
        <v>55.0</v>
      </c>
    </row>
    <row r="487" ht="15.75" customHeight="1">
      <c r="A487" s="3">
        <v>45746.0</v>
      </c>
      <c r="B487" s="4" t="s">
        <v>46</v>
      </c>
      <c r="C487" s="4" t="s">
        <v>20</v>
      </c>
      <c r="D487" s="4">
        <v>49.0</v>
      </c>
    </row>
    <row r="488" ht="15.75" customHeight="1">
      <c r="A488" s="3">
        <v>45730.0</v>
      </c>
      <c r="B488" s="4" t="s">
        <v>18</v>
      </c>
      <c r="C488" s="4" t="s">
        <v>13</v>
      </c>
      <c r="D488" s="4">
        <v>29.0</v>
      </c>
    </row>
    <row r="489" ht="15.75" customHeight="1">
      <c r="A489" s="3">
        <v>45663.0</v>
      </c>
      <c r="B489" s="4" t="s">
        <v>113</v>
      </c>
      <c r="C489" s="4" t="s">
        <v>85</v>
      </c>
      <c r="D489" s="4">
        <v>49.0</v>
      </c>
    </row>
    <row r="490" ht="15.75" customHeight="1">
      <c r="A490" s="3">
        <v>45739.0</v>
      </c>
      <c r="B490" s="4" t="s">
        <v>133</v>
      </c>
      <c r="C490" s="4" t="s">
        <v>24</v>
      </c>
      <c r="D490" s="4">
        <v>59.0</v>
      </c>
    </row>
    <row r="491" ht="15.75" customHeight="1">
      <c r="A491" s="3">
        <v>45740.0</v>
      </c>
      <c r="B491" s="4" t="s">
        <v>127</v>
      </c>
      <c r="C491" s="4" t="s">
        <v>22</v>
      </c>
      <c r="D491" s="4">
        <v>28.0</v>
      </c>
    </row>
    <row r="492" ht="15.75" customHeight="1">
      <c r="A492" s="3">
        <v>45702.0</v>
      </c>
      <c r="B492" s="4" t="s">
        <v>124</v>
      </c>
      <c r="C492" s="4" t="s">
        <v>26</v>
      </c>
      <c r="D492" s="4">
        <v>53.0</v>
      </c>
    </row>
    <row r="493" ht="15.75" customHeight="1">
      <c r="A493" s="3">
        <v>45664.0</v>
      </c>
      <c r="B493" s="4" t="s">
        <v>78</v>
      </c>
      <c r="C493" s="4" t="s">
        <v>79</v>
      </c>
      <c r="D493" s="4">
        <v>46.0</v>
      </c>
    </row>
    <row r="494" ht="15.75" customHeight="1">
      <c r="A494" s="3">
        <v>45726.0</v>
      </c>
      <c r="B494" s="4" t="s">
        <v>6</v>
      </c>
      <c r="C494" s="4" t="s">
        <v>5</v>
      </c>
      <c r="D494" s="4">
        <v>69.0</v>
      </c>
    </row>
    <row r="495" ht="15.75" customHeight="1">
      <c r="A495" s="3">
        <v>45722.0</v>
      </c>
      <c r="B495" s="4" t="s">
        <v>94</v>
      </c>
      <c r="C495" s="4" t="s">
        <v>52</v>
      </c>
      <c r="D495" s="4">
        <v>75.0</v>
      </c>
    </row>
    <row r="496" ht="15.75" customHeight="1">
      <c r="A496" s="3">
        <v>45681.0</v>
      </c>
      <c r="B496" s="4" t="s">
        <v>120</v>
      </c>
      <c r="C496" s="4" t="s">
        <v>26</v>
      </c>
      <c r="D496" s="4">
        <v>66.0</v>
      </c>
    </row>
    <row r="497" ht="15.75" customHeight="1">
      <c r="A497" s="3">
        <v>45677.0</v>
      </c>
      <c r="B497" s="4" t="s">
        <v>99</v>
      </c>
      <c r="C497" s="4" t="s">
        <v>16</v>
      </c>
      <c r="D497" s="4">
        <v>49.0</v>
      </c>
    </row>
    <row r="498" ht="15.75" customHeight="1">
      <c r="A498" s="3">
        <v>45667.0</v>
      </c>
      <c r="B498" s="4" t="s">
        <v>80</v>
      </c>
      <c r="C498" s="4" t="s">
        <v>22</v>
      </c>
      <c r="D498" s="4">
        <v>50.0</v>
      </c>
    </row>
    <row r="499" ht="15.75" customHeight="1">
      <c r="A499" s="3">
        <v>45736.0</v>
      </c>
      <c r="B499" s="4" t="s">
        <v>59</v>
      </c>
      <c r="C499" s="4" t="s">
        <v>16</v>
      </c>
      <c r="D499" s="4">
        <v>46.0</v>
      </c>
    </row>
    <row r="500" ht="15.75" customHeight="1">
      <c r="A500" s="3">
        <v>45663.0</v>
      </c>
      <c r="B500" s="4" t="s">
        <v>139</v>
      </c>
      <c r="C500" s="4" t="s">
        <v>109</v>
      </c>
      <c r="D500" s="4">
        <v>5.0</v>
      </c>
    </row>
    <row r="501" ht="15.75" customHeight="1">
      <c r="A501" s="3">
        <v>45660.0</v>
      </c>
      <c r="B501" s="4" t="s">
        <v>93</v>
      </c>
      <c r="C501" s="4" t="s">
        <v>82</v>
      </c>
      <c r="D501" s="4">
        <v>34.0</v>
      </c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.71"/>
    <col customWidth="1" min="2" max="2" width="21.0"/>
    <col customWidth="1" min="3" max="3" width="49.0"/>
    <col customWidth="1" min="4" max="4" width="15.29"/>
    <col customWidth="1" min="5" max="5" width="7.0"/>
    <col customWidth="1" min="6" max="8" width="8.71"/>
    <col customWidth="1" min="9" max="9" width="16.0"/>
    <col customWidth="1" min="10" max="26" width="8.71"/>
  </cols>
  <sheetData>
    <row r="1">
      <c r="A1" s="2" t="s">
        <v>1</v>
      </c>
      <c r="B1" s="2" t="s">
        <v>2</v>
      </c>
      <c r="C1" s="2" t="s">
        <v>144</v>
      </c>
      <c r="D1" s="2" t="s">
        <v>145</v>
      </c>
      <c r="E1" s="2" t="s">
        <v>146</v>
      </c>
      <c r="F1" s="6" t="s">
        <v>147</v>
      </c>
      <c r="G1" s="6" t="s">
        <v>148</v>
      </c>
      <c r="H1" s="6" t="s">
        <v>149</v>
      </c>
      <c r="I1" s="7" t="s">
        <v>150</v>
      </c>
    </row>
    <row r="2">
      <c r="A2" s="4" t="s">
        <v>78</v>
      </c>
      <c r="B2" s="4" t="s">
        <v>79</v>
      </c>
      <c r="C2" s="4" t="s">
        <v>151</v>
      </c>
      <c r="D2" s="4" t="s">
        <v>152</v>
      </c>
      <c r="E2" s="4">
        <v>976.36</v>
      </c>
      <c r="F2" s="4">
        <f>SUMIFS(Entrada!D:D,Entrada!B:B,A2)</f>
        <v>233</v>
      </c>
      <c r="G2" s="4">
        <f>SUMIFS(Saida!D:D,Saida!B:B,A2)</f>
        <v>227</v>
      </c>
      <c r="H2" s="4">
        <f t="shared" ref="H2:H121" si="1">F2-G2</f>
        <v>6</v>
      </c>
      <c r="I2" s="7">
        <f t="shared" ref="I2:I121" si="2">H2*E2</f>
        <v>5858.16</v>
      </c>
    </row>
    <row r="3">
      <c r="A3" s="4" t="s">
        <v>60</v>
      </c>
      <c r="B3" s="4" t="s">
        <v>24</v>
      </c>
      <c r="C3" s="4" t="s">
        <v>153</v>
      </c>
      <c r="D3" s="4" t="s">
        <v>154</v>
      </c>
      <c r="E3" s="4">
        <v>652.17</v>
      </c>
      <c r="F3" s="4">
        <f>SUMIFS(Entrada!D:D,Entrada!B:B,A3)</f>
        <v>347</v>
      </c>
      <c r="G3" s="4">
        <f>SUMIFS(Saida!D:D,Saida!B:B,A3)</f>
        <v>89</v>
      </c>
      <c r="H3" s="4">
        <f t="shared" si="1"/>
        <v>258</v>
      </c>
      <c r="I3" s="7">
        <f t="shared" si="2"/>
        <v>168259.86</v>
      </c>
    </row>
    <row r="4">
      <c r="A4" s="4" t="s">
        <v>70</v>
      </c>
      <c r="B4" s="4" t="s">
        <v>52</v>
      </c>
      <c r="C4" s="4" t="s">
        <v>155</v>
      </c>
      <c r="D4" s="4" t="s">
        <v>156</v>
      </c>
      <c r="E4" s="4">
        <v>523.33</v>
      </c>
      <c r="F4" s="4">
        <f>SUMIFS(Entrada!D:D,Entrada!B:B,A4)</f>
        <v>291</v>
      </c>
      <c r="G4" s="4">
        <f>SUMIFS(Saida!D:D,Saida!B:B,A4)</f>
        <v>198</v>
      </c>
      <c r="H4" s="4">
        <f t="shared" si="1"/>
        <v>93</v>
      </c>
      <c r="I4" s="7">
        <f t="shared" si="2"/>
        <v>48669.69</v>
      </c>
    </row>
    <row r="5">
      <c r="A5" s="4" t="s">
        <v>10</v>
      </c>
      <c r="B5" s="4" t="s">
        <v>8</v>
      </c>
      <c r="C5" s="4" t="s">
        <v>157</v>
      </c>
      <c r="D5" s="4" t="s">
        <v>154</v>
      </c>
      <c r="E5" s="4">
        <v>101.03</v>
      </c>
      <c r="F5" s="4">
        <f>SUMIFS(Entrada!D:D,Entrada!B:B,A5)</f>
        <v>266</v>
      </c>
      <c r="G5" s="4">
        <f>SUMIFS(Saida!D:D,Saida!B:B,A5)</f>
        <v>180</v>
      </c>
      <c r="H5" s="4">
        <f t="shared" si="1"/>
        <v>86</v>
      </c>
      <c r="I5" s="7">
        <f t="shared" si="2"/>
        <v>8688.58</v>
      </c>
    </row>
    <row r="6">
      <c r="A6" s="4" t="s">
        <v>89</v>
      </c>
      <c r="B6" s="4" t="s">
        <v>79</v>
      </c>
      <c r="C6" s="4" t="s">
        <v>158</v>
      </c>
      <c r="D6" s="4" t="s">
        <v>159</v>
      </c>
      <c r="E6" s="4">
        <v>389.93</v>
      </c>
      <c r="F6" s="4">
        <f>SUMIFS(Entrada!D:D,Entrada!B:B,A6)</f>
        <v>238</v>
      </c>
      <c r="G6" s="4">
        <f>SUMIFS(Saida!D:D,Saida!B:B,A6)</f>
        <v>29</v>
      </c>
      <c r="H6" s="4">
        <f t="shared" si="1"/>
        <v>209</v>
      </c>
      <c r="I6" s="7">
        <f t="shared" si="2"/>
        <v>81495.37</v>
      </c>
    </row>
    <row r="7">
      <c r="A7" s="4" t="s">
        <v>7</v>
      </c>
      <c r="B7" s="4" t="s">
        <v>8</v>
      </c>
      <c r="C7" s="4" t="s">
        <v>160</v>
      </c>
      <c r="D7" s="4" t="s">
        <v>152</v>
      </c>
      <c r="E7" s="4">
        <v>238.68</v>
      </c>
      <c r="F7" s="4">
        <f>SUMIFS(Entrada!D:D,Entrada!B:B,A7)</f>
        <v>317</v>
      </c>
      <c r="G7" s="4">
        <f>SUMIFS(Saida!D:D,Saida!B:B,A7)</f>
        <v>55</v>
      </c>
      <c r="H7" s="4">
        <f t="shared" si="1"/>
        <v>262</v>
      </c>
      <c r="I7" s="7">
        <f t="shared" si="2"/>
        <v>62534.16</v>
      </c>
    </row>
    <row r="8">
      <c r="A8" s="4" t="s">
        <v>65</v>
      </c>
      <c r="B8" s="4" t="s">
        <v>5</v>
      </c>
      <c r="C8" s="4" t="s">
        <v>161</v>
      </c>
      <c r="D8" s="4" t="s">
        <v>162</v>
      </c>
      <c r="E8" s="4">
        <v>395.54</v>
      </c>
      <c r="F8" s="4">
        <f>SUMIFS(Entrada!D:D,Entrada!B:B,A8)</f>
        <v>262</v>
      </c>
      <c r="G8" s="4">
        <f>SUMIFS(Saida!D:D,Saida!B:B,A8)</f>
        <v>161</v>
      </c>
      <c r="H8" s="4">
        <f t="shared" si="1"/>
        <v>101</v>
      </c>
      <c r="I8" s="7">
        <f t="shared" si="2"/>
        <v>39949.54</v>
      </c>
    </row>
    <row r="9">
      <c r="A9" s="4" t="s">
        <v>67</v>
      </c>
      <c r="B9" s="4" t="s">
        <v>39</v>
      </c>
      <c r="C9" s="4" t="s">
        <v>163</v>
      </c>
      <c r="D9" s="4" t="s">
        <v>159</v>
      </c>
      <c r="E9" s="4">
        <v>97.2</v>
      </c>
      <c r="F9" s="4">
        <f>SUMIFS(Entrada!D:D,Entrada!B:B,A9)</f>
        <v>380</v>
      </c>
      <c r="G9" s="4">
        <f>SUMIFS(Saida!D:D,Saida!B:B,A9)</f>
        <v>235</v>
      </c>
      <c r="H9" s="4">
        <f t="shared" si="1"/>
        <v>145</v>
      </c>
      <c r="I9" s="7">
        <f t="shared" si="2"/>
        <v>14094</v>
      </c>
    </row>
    <row r="10">
      <c r="A10" s="4" t="s">
        <v>125</v>
      </c>
      <c r="B10" s="4" t="s">
        <v>20</v>
      </c>
      <c r="C10" s="4" t="s">
        <v>160</v>
      </c>
      <c r="D10" s="4" t="s">
        <v>156</v>
      </c>
      <c r="E10" s="4">
        <v>938.68</v>
      </c>
      <c r="F10" s="4">
        <f>SUMIFS(Entrada!D:D,Entrada!B:B,A10)</f>
        <v>171</v>
      </c>
      <c r="G10" s="4">
        <f>SUMIFS(Saida!D:D,Saida!B:B,A10)</f>
        <v>88</v>
      </c>
      <c r="H10" s="4">
        <f t="shared" si="1"/>
        <v>83</v>
      </c>
      <c r="I10" s="7">
        <f t="shared" si="2"/>
        <v>77910.44</v>
      </c>
    </row>
    <row r="11">
      <c r="A11" s="4" t="s">
        <v>47</v>
      </c>
      <c r="B11" s="4" t="s">
        <v>22</v>
      </c>
      <c r="C11" s="4" t="s">
        <v>153</v>
      </c>
      <c r="D11" s="4" t="s">
        <v>164</v>
      </c>
      <c r="E11" s="4">
        <v>536.84</v>
      </c>
      <c r="F11" s="4">
        <f>SUMIFS(Entrada!D:D,Entrada!B:B,A11)</f>
        <v>376</v>
      </c>
      <c r="G11" s="4">
        <f>SUMIFS(Saida!D:D,Saida!B:B,A11)</f>
        <v>57</v>
      </c>
      <c r="H11" s="4">
        <f t="shared" si="1"/>
        <v>319</v>
      </c>
      <c r="I11" s="7">
        <f t="shared" si="2"/>
        <v>171251.96</v>
      </c>
    </row>
    <row r="12">
      <c r="A12" s="4" t="s">
        <v>63</v>
      </c>
      <c r="B12" s="4" t="s">
        <v>26</v>
      </c>
      <c r="C12" s="4" t="s">
        <v>165</v>
      </c>
      <c r="D12" s="4" t="s">
        <v>164</v>
      </c>
      <c r="E12" s="4">
        <v>482.7</v>
      </c>
      <c r="F12" s="4">
        <f>SUMIFS(Entrada!D:D,Entrada!B:B,A12)</f>
        <v>657</v>
      </c>
      <c r="G12" s="4">
        <f>SUMIFS(Saida!D:D,Saida!B:B,A12)</f>
        <v>338</v>
      </c>
      <c r="H12" s="4">
        <f t="shared" si="1"/>
        <v>319</v>
      </c>
      <c r="I12" s="7">
        <f t="shared" si="2"/>
        <v>153981.3</v>
      </c>
    </row>
    <row r="13">
      <c r="A13" s="4" t="s">
        <v>34</v>
      </c>
      <c r="B13" s="4" t="s">
        <v>28</v>
      </c>
      <c r="C13" s="4" t="s">
        <v>160</v>
      </c>
      <c r="D13" s="4" t="s">
        <v>164</v>
      </c>
      <c r="E13" s="4">
        <v>756.15</v>
      </c>
      <c r="F13" s="4">
        <f>SUMIFS(Entrada!D:D,Entrada!B:B,A13)</f>
        <v>277</v>
      </c>
      <c r="G13" s="4">
        <f>SUMIFS(Saida!D:D,Saida!B:B,A13)</f>
        <v>241</v>
      </c>
      <c r="H13" s="4">
        <f t="shared" si="1"/>
        <v>36</v>
      </c>
      <c r="I13" s="7">
        <f t="shared" si="2"/>
        <v>27221.4</v>
      </c>
    </row>
    <row r="14">
      <c r="A14" s="4" t="s">
        <v>129</v>
      </c>
      <c r="B14" s="4" t="s">
        <v>41</v>
      </c>
      <c r="C14" s="4" t="s">
        <v>166</v>
      </c>
      <c r="D14" s="4" t="s">
        <v>154</v>
      </c>
      <c r="E14" s="4">
        <v>966.44</v>
      </c>
      <c r="F14" s="4">
        <f>SUMIFS(Entrada!D:D,Entrada!B:B,A14)</f>
        <v>222</v>
      </c>
      <c r="G14" s="4">
        <f>SUMIFS(Saida!D:D,Saida!B:B,A14)</f>
        <v>261</v>
      </c>
      <c r="H14" s="4">
        <f t="shared" si="1"/>
        <v>-39</v>
      </c>
      <c r="I14" s="7">
        <f t="shared" si="2"/>
        <v>-37691.16</v>
      </c>
    </row>
    <row r="15">
      <c r="A15" s="4" t="s">
        <v>110</v>
      </c>
      <c r="B15" s="4" t="s">
        <v>8</v>
      </c>
      <c r="C15" s="4" t="s">
        <v>165</v>
      </c>
      <c r="D15" s="4" t="s">
        <v>152</v>
      </c>
      <c r="E15" s="4">
        <v>223.56</v>
      </c>
      <c r="F15" s="4">
        <f>SUMIFS(Entrada!D:D,Entrada!B:B,A15)</f>
        <v>577</v>
      </c>
      <c r="G15" s="4">
        <f>SUMIFS(Saida!D:D,Saida!B:B,A15)</f>
        <v>189</v>
      </c>
      <c r="H15" s="4">
        <f t="shared" si="1"/>
        <v>388</v>
      </c>
      <c r="I15" s="7">
        <f t="shared" si="2"/>
        <v>86741.28</v>
      </c>
    </row>
    <row r="16">
      <c r="A16" s="4" t="s">
        <v>119</v>
      </c>
      <c r="B16" s="4" t="s">
        <v>16</v>
      </c>
      <c r="C16" s="4" t="s">
        <v>153</v>
      </c>
      <c r="D16" s="4" t="s">
        <v>152</v>
      </c>
      <c r="E16" s="4">
        <v>257.3</v>
      </c>
      <c r="F16" s="4">
        <f>SUMIFS(Entrada!D:D,Entrada!B:B,A16)</f>
        <v>284</v>
      </c>
      <c r="G16" s="4">
        <f>SUMIFS(Saida!D:D,Saida!B:B,A16)</f>
        <v>127</v>
      </c>
      <c r="H16" s="4">
        <f t="shared" si="1"/>
        <v>157</v>
      </c>
      <c r="I16" s="7">
        <f t="shared" si="2"/>
        <v>40396.1</v>
      </c>
    </row>
    <row r="17">
      <c r="A17" s="4" t="s">
        <v>98</v>
      </c>
      <c r="B17" s="4" t="s">
        <v>22</v>
      </c>
      <c r="C17" s="4" t="s">
        <v>167</v>
      </c>
      <c r="D17" s="4" t="s">
        <v>164</v>
      </c>
      <c r="E17" s="4">
        <v>381.51</v>
      </c>
      <c r="F17" s="4">
        <f>SUMIFS(Entrada!D:D,Entrada!B:B,A17)</f>
        <v>104</v>
      </c>
      <c r="G17" s="4">
        <f>SUMIFS(Saida!D:D,Saida!B:B,A17)</f>
        <v>57</v>
      </c>
      <c r="H17" s="4">
        <f t="shared" si="1"/>
        <v>47</v>
      </c>
      <c r="I17" s="7">
        <f t="shared" si="2"/>
        <v>17930.97</v>
      </c>
    </row>
    <row r="18">
      <c r="A18" s="4" t="s">
        <v>40</v>
      </c>
      <c r="B18" s="4" t="s">
        <v>41</v>
      </c>
      <c r="C18" s="4" t="s">
        <v>168</v>
      </c>
      <c r="D18" s="4" t="s">
        <v>159</v>
      </c>
      <c r="E18" s="4">
        <v>837.9</v>
      </c>
      <c r="F18" s="4">
        <f>SUMIFS(Entrada!D:D,Entrada!B:B,A18)</f>
        <v>336</v>
      </c>
      <c r="G18" s="4">
        <f>SUMIFS(Saida!D:D,Saida!B:B,A18)</f>
        <v>188</v>
      </c>
      <c r="H18" s="4">
        <f t="shared" si="1"/>
        <v>148</v>
      </c>
      <c r="I18" s="7">
        <f t="shared" si="2"/>
        <v>124009.2</v>
      </c>
    </row>
    <row r="19">
      <c r="A19" s="4" t="s">
        <v>32</v>
      </c>
      <c r="B19" s="4" t="s">
        <v>22</v>
      </c>
      <c r="C19" s="4" t="s">
        <v>169</v>
      </c>
      <c r="D19" s="4" t="s">
        <v>154</v>
      </c>
      <c r="E19" s="4">
        <v>715.01</v>
      </c>
      <c r="F19" s="4">
        <f>SUMIFS(Entrada!D:D,Entrada!B:B,A19)</f>
        <v>207</v>
      </c>
      <c r="G19" s="4">
        <f>SUMIFS(Saida!D:D,Saida!B:B,A19)</f>
        <v>217</v>
      </c>
      <c r="H19" s="4">
        <f t="shared" si="1"/>
        <v>-10</v>
      </c>
      <c r="I19" s="7">
        <f t="shared" si="2"/>
        <v>-7150.1</v>
      </c>
    </row>
    <row r="20">
      <c r="A20" s="4" t="s">
        <v>73</v>
      </c>
      <c r="B20" s="4" t="s">
        <v>13</v>
      </c>
      <c r="C20" s="4" t="s">
        <v>160</v>
      </c>
      <c r="D20" s="4" t="s">
        <v>154</v>
      </c>
      <c r="E20" s="4">
        <v>393.32</v>
      </c>
      <c r="F20" s="4">
        <f>SUMIFS(Entrada!D:D,Entrada!B:B,A20)</f>
        <v>335</v>
      </c>
      <c r="G20" s="4">
        <f>SUMIFS(Saida!D:D,Saida!B:B,A20)</f>
        <v>164</v>
      </c>
      <c r="H20" s="4">
        <f t="shared" si="1"/>
        <v>171</v>
      </c>
      <c r="I20" s="7">
        <f t="shared" si="2"/>
        <v>67257.72</v>
      </c>
    </row>
    <row r="21" ht="15.75" customHeight="1">
      <c r="A21" s="4" t="s">
        <v>59</v>
      </c>
      <c r="B21" s="4" t="s">
        <v>16</v>
      </c>
      <c r="C21" s="4" t="s">
        <v>169</v>
      </c>
      <c r="D21" s="4" t="s">
        <v>162</v>
      </c>
      <c r="E21" s="4">
        <v>240.69</v>
      </c>
      <c r="F21" s="4">
        <f>SUMIFS(Entrada!D:D,Entrada!B:B,A21)</f>
        <v>163</v>
      </c>
      <c r="G21" s="4">
        <f>SUMIFS(Saida!D:D,Saida!B:B,A21)</f>
        <v>337</v>
      </c>
      <c r="H21" s="4">
        <f t="shared" si="1"/>
        <v>-174</v>
      </c>
      <c r="I21" s="7">
        <f t="shared" si="2"/>
        <v>-41880.06</v>
      </c>
    </row>
    <row r="22" ht="15.75" customHeight="1">
      <c r="A22" s="4" t="s">
        <v>38</v>
      </c>
      <c r="B22" s="4" t="s">
        <v>39</v>
      </c>
      <c r="C22" s="4" t="s">
        <v>165</v>
      </c>
      <c r="D22" s="4" t="s">
        <v>170</v>
      </c>
      <c r="E22" s="4">
        <v>477.8</v>
      </c>
      <c r="F22" s="4">
        <f>SUMIFS(Entrada!D:D,Entrada!B:B,A22)</f>
        <v>388</v>
      </c>
      <c r="G22" s="4">
        <f>SUMIFS(Saida!D:D,Saida!B:B,A22)</f>
        <v>81</v>
      </c>
      <c r="H22" s="4">
        <f t="shared" si="1"/>
        <v>307</v>
      </c>
      <c r="I22" s="7">
        <f t="shared" si="2"/>
        <v>146684.6</v>
      </c>
    </row>
    <row r="23" ht="15.75" customHeight="1">
      <c r="A23" s="4" t="s">
        <v>30</v>
      </c>
      <c r="B23" s="4" t="s">
        <v>31</v>
      </c>
      <c r="C23" s="4" t="s">
        <v>161</v>
      </c>
      <c r="D23" s="4" t="s">
        <v>154</v>
      </c>
      <c r="E23" s="4">
        <v>469.5</v>
      </c>
      <c r="F23" s="4">
        <f>SUMIFS(Entrada!D:D,Entrada!B:B,A23)</f>
        <v>572</v>
      </c>
      <c r="G23" s="4">
        <f>SUMIFS(Saida!D:D,Saida!B:B,A23)</f>
        <v>142</v>
      </c>
      <c r="H23" s="4">
        <f t="shared" si="1"/>
        <v>430</v>
      </c>
      <c r="I23" s="7">
        <f t="shared" si="2"/>
        <v>201885</v>
      </c>
    </row>
    <row r="24" ht="15.75" customHeight="1">
      <c r="A24" s="4" t="s">
        <v>116</v>
      </c>
      <c r="B24" s="4" t="s">
        <v>82</v>
      </c>
      <c r="C24" s="4" t="s">
        <v>171</v>
      </c>
      <c r="D24" s="4" t="s">
        <v>156</v>
      </c>
      <c r="E24" s="4">
        <v>435.65</v>
      </c>
      <c r="F24" s="4">
        <f>SUMIFS(Entrada!D:D,Entrada!B:B,A24)</f>
        <v>715</v>
      </c>
      <c r="G24" s="4">
        <f>SUMIFS(Saida!D:D,Saida!B:B,A24)</f>
        <v>96</v>
      </c>
      <c r="H24" s="4">
        <f t="shared" si="1"/>
        <v>619</v>
      </c>
      <c r="I24" s="7">
        <f t="shared" si="2"/>
        <v>269667.35</v>
      </c>
    </row>
    <row r="25" ht="15.75" customHeight="1">
      <c r="A25" s="4" t="s">
        <v>36</v>
      </c>
      <c r="B25" s="4" t="s">
        <v>22</v>
      </c>
      <c r="C25" s="4" t="s">
        <v>172</v>
      </c>
      <c r="D25" s="4" t="s">
        <v>154</v>
      </c>
      <c r="E25" s="4">
        <v>491.38</v>
      </c>
      <c r="F25" s="4">
        <f>SUMIFS(Entrada!D:D,Entrada!B:B,A25)</f>
        <v>267</v>
      </c>
      <c r="G25" s="4">
        <f>SUMIFS(Saida!D:D,Saida!B:B,A25)</f>
        <v>224</v>
      </c>
      <c r="H25" s="4">
        <f t="shared" si="1"/>
        <v>43</v>
      </c>
      <c r="I25" s="7">
        <f t="shared" si="2"/>
        <v>21129.34</v>
      </c>
    </row>
    <row r="26" ht="15.75" customHeight="1">
      <c r="A26" s="4" t="s">
        <v>99</v>
      </c>
      <c r="B26" s="4" t="s">
        <v>16</v>
      </c>
      <c r="C26" s="4" t="s">
        <v>173</v>
      </c>
      <c r="D26" s="4" t="s">
        <v>152</v>
      </c>
      <c r="E26" s="4">
        <v>250.84</v>
      </c>
      <c r="F26" s="4">
        <f>SUMIFS(Entrada!D:D,Entrada!B:B,A26)</f>
        <v>362</v>
      </c>
      <c r="G26" s="4">
        <f>SUMIFS(Saida!D:D,Saida!B:B,A26)</f>
        <v>182</v>
      </c>
      <c r="H26" s="4">
        <f t="shared" si="1"/>
        <v>180</v>
      </c>
      <c r="I26" s="7">
        <f t="shared" si="2"/>
        <v>45151.2</v>
      </c>
    </row>
    <row r="27" ht="15.75" customHeight="1">
      <c r="A27" s="4" t="s">
        <v>4</v>
      </c>
      <c r="B27" s="4" t="s">
        <v>5</v>
      </c>
      <c r="C27" s="4" t="s">
        <v>174</v>
      </c>
      <c r="D27" s="4" t="s">
        <v>162</v>
      </c>
      <c r="E27" s="4">
        <v>802.36</v>
      </c>
      <c r="F27" s="4">
        <f>SUMIFS(Entrada!D:D,Entrada!B:B,A27)</f>
        <v>416</v>
      </c>
      <c r="G27" s="4">
        <f>SUMIFS(Saida!D:D,Saida!B:B,A27)</f>
        <v>138</v>
      </c>
      <c r="H27" s="4">
        <f t="shared" si="1"/>
        <v>278</v>
      </c>
      <c r="I27" s="7">
        <f t="shared" si="2"/>
        <v>223056.08</v>
      </c>
    </row>
    <row r="28" ht="15.75" customHeight="1">
      <c r="A28" s="4" t="s">
        <v>135</v>
      </c>
      <c r="B28" s="4" t="s">
        <v>62</v>
      </c>
      <c r="C28" s="4" t="s">
        <v>173</v>
      </c>
      <c r="D28" s="4" t="s">
        <v>170</v>
      </c>
      <c r="E28" s="4">
        <v>167.32</v>
      </c>
      <c r="F28" s="4">
        <f>SUMIFS(Entrada!D:D,Entrada!B:B,A28)</f>
        <v>211</v>
      </c>
      <c r="G28" s="4">
        <f>SUMIFS(Saida!D:D,Saida!B:B,A28)</f>
        <v>135</v>
      </c>
      <c r="H28" s="4">
        <f t="shared" si="1"/>
        <v>76</v>
      </c>
      <c r="I28" s="7">
        <f t="shared" si="2"/>
        <v>12716.32</v>
      </c>
    </row>
    <row r="29" ht="15.75" customHeight="1">
      <c r="A29" s="4" t="s">
        <v>23</v>
      </c>
      <c r="B29" s="4" t="s">
        <v>24</v>
      </c>
      <c r="C29" s="4" t="s">
        <v>157</v>
      </c>
      <c r="D29" s="4" t="s">
        <v>159</v>
      </c>
      <c r="E29" s="4">
        <v>120.79</v>
      </c>
      <c r="F29" s="4">
        <f>SUMIFS(Entrada!D:D,Entrada!B:B,A29)</f>
        <v>252</v>
      </c>
      <c r="G29" s="4">
        <f>SUMIFS(Saida!D:D,Saida!B:B,A29)</f>
        <v>194</v>
      </c>
      <c r="H29" s="4">
        <f t="shared" si="1"/>
        <v>58</v>
      </c>
      <c r="I29" s="7">
        <f t="shared" si="2"/>
        <v>7005.82</v>
      </c>
    </row>
    <row r="30" ht="15.75" customHeight="1">
      <c r="A30" s="4" t="s">
        <v>71</v>
      </c>
      <c r="B30" s="4" t="s">
        <v>20</v>
      </c>
      <c r="C30" s="4" t="s">
        <v>166</v>
      </c>
      <c r="D30" s="4" t="s">
        <v>154</v>
      </c>
      <c r="E30" s="4">
        <v>210.72</v>
      </c>
      <c r="F30" s="4">
        <f>SUMIFS(Entrada!D:D,Entrada!B:B,A30)</f>
        <v>921</v>
      </c>
      <c r="G30" s="4">
        <f>SUMIFS(Saida!D:D,Saida!B:B,A30)</f>
        <v>365</v>
      </c>
      <c r="H30" s="4">
        <f t="shared" si="1"/>
        <v>556</v>
      </c>
      <c r="I30" s="7">
        <f t="shared" si="2"/>
        <v>117160.32</v>
      </c>
    </row>
    <row r="31" ht="15.75" customHeight="1">
      <c r="A31" s="4" t="s">
        <v>107</v>
      </c>
      <c r="B31" s="4" t="s">
        <v>24</v>
      </c>
      <c r="C31" s="4" t="s">
        <v>157</v>
      </c>
      <c r="D31" s="4" t="s">
        <v>162</v>
      </c>
      <c r="E31" s="4">
        <v>270.27</v>
      </c>
      <c r="F31" s="4">
        <f>SUMIFS(Entrada!D:D,Entrada!B:B,A31)</f>
        <v>67</v>
      </c>
      <c r="G31" s="4">
        <f>SUMIFS(Saida!D:D,Saida!B:B,A31)</f>
        <v>74</v>
      </c>
      <c r="H31" s="4">
        <f t="shared" si="1"/>
        <v>-7</v>
      </c>
      <c r="I31" s="7">
        <f t="shared" si="2"/>
        <v>-1891.89</v>
      </c>
    </row>
    <row r="32" ht="15.75" customHeight="1">
      <c r="A32" s="4" t="s">
        <v>136</v>
      </c>
      <c r="B32" s="4" t="s">
        <v>79</v>
      </c>
      <c r="C32" s="4" t="s">
        <v>175</v>
      </c>
      <c r="D32" s="4" t="s">
        <v>156</v>
      </c>
      <c r="E32" s="4">
        <v>711.1</v>
      </c>
      <c r="F32" s="4">
        <f>SUMIFS(Entrada!D:D,Entrada!B:B,A32)</f>
        <v>312</v>
      </c>
      <c r="G32" s="4">
        <f>SUMIFS(Saida!D:D,Saida!B:B,A32)</f>
        <v>289</v>
      </c>
      <c r="H32" s="4">
        <f t="shared" si="1"/>
        <v>23</v>
      </c>
      <c r="I32" s="7">
        <f t="shared" si="2"/>
        <v>16355.3</v>
      </c>
    </row>
    <row r="33" ht="15.75" customHeight="1">
      <c r="A33" s="4" t="s">
        <v>88</v>
      </c>
      <c r="B33" s="4" t="s">
        <v>75</v>
      </c>
      <c r="C33" s="4" t="s">
        <v>167</v>
      </c>
      <c r="D33" s="4" t="s">
        <v>154</v>
      </c>
      <c r="E33" s="4">
        <v>823.71</v>
      </c>
      <c r="F33" s="4">
        <f>SUMIFS(Entrada!D:D,Entrada!B:B,A33)</f>
        <v>404</v>
      </c>
      <c r="G33" s="4">
        <f>SUMIFS(Saida!D:D,Saida!B:B,A33)</f>
        <v>108</v>
      </c>
      <c r="H33" s="4">
        <f t="shared" si="1"/>
        <v>296</v>
      </c>
      <c r="I33" s="7">
        <f t="shared" si="2"/>
        <v>243818.16</v>
      </c>
    </row>
    <row r="34" ht="15.75" customHeight="1">
      <c r="A34" s="4" t="s">
        <v>14</v>
      </c>
      <c r="B34" s="4" t="s">
        <v>8</v>
      </c>
      <c r="C34" s="4" t="s">
        <v>171</v>
      </c>
      <c r="D34" s="4" t="s">
        <v>156</v>
      </c>
      <c r="E34" s="4">
        <v>107.76</v>
      </c>
      <c r="F34" s="4">
        <f>SUMIFS(Entrada!D:D,Entrada!B:B,A34)</f>
        <v>264</v>
      </c>
      <c r="G34" s="4">
        <f>SUMIFS(Saida!D:D,Saida!B:B,A34)</f>
        <v>217</v>
      </c>
      <c r="H34" s="4">
        <f t="shared" si="1"/>
        <v>47</v>
      </c>
      <c r="I34" s="7">
        <f t="shared" si="2"/>
        <v>5064.72</v>
      </c>
    </row>
    <row r="35" ht="15.75" customHeight="1">
      <c r="A35" s="4" t="s">
        <v>120</v>
      </c>
      <c r="B35" s="4" t="s">
        <v>26</v>
      </c>
      <c r="C35" s="4" t="s">
        <v>163</v>
      </c>
      <c r="D35" s="4" t="s">
        <v>159</v>
      </c>
      <c r="E35" s="4">
        <v>653.64</v>
      </c>
      <c r="F35" s="4">
        <f>SUMIFS(Entrada!D:D,Entrada!B:B,A35)</f>
        <v>241</v>
      </c>
      <c r="G35" s="4">
        <f>SUMIFS(Saida!D:D,Saida!B:B,A35)</f>
        <v>183</v>
      </c>
      <c r="H35" s="4">
        <f t="shared" si="1"/>
        <v>58</v>
      </c>
      <c r="I35" s="7">
        <f t="shared" si="2"/>
        <v>37911.12</v>
      </c>
    </row>
    <row r="36" ht="15.75" customHeight="1">
      <c r="A36" s="4" t="s">
        <v>133</v>
      </c>
      <c r="B36" s="4" t="s">
        <v>24</v>
      </c>
      <c r="C36" s="4" t="s">
        <v>151</v>
      </c>
      <c r="D36" s="4" t="s">
        <v>159</v>
      </c>
      <c r="E36" s="4">
        <v>252.85</v>
      </c>
      <c r="F36" s="4">
        <f>SUMIFS(Entrada!D:D,Entrada!B:B,A36)</f>
        <v>11</v>
      </c>
      <c r="G36" s="4">
        <f>SUMIFS(Saida!D:D,Saida!B:B,A36)</f>
        <v>272</v>
      </c>
      <c r="H36" s="4">
        <f t="shared" si="1"/>
        <v>-261</v>
      </c>
      <c r="I36" s="7">
        <f t="shared" si="2"/>
        <v>-65993.85</v>
      </c>
    </row>
    <row r="37" ht="15.75" customHeight="1">
      <c r="A37" s="4" t="s">
        <v>29</v>
      </c>
      <c r="B37" s="4" t="s">
        <v>16</v>
      </c>
      <c r="C37" s="4" t="s">
        <v>158</v>
      </c>
      <c r="D37" s="4" t="s">
        <v>156</v>
      </c>
      <c r="E37" s="4">
        <v>775.44</v>
      </c>
      <c r="F37" s="4">
        <f>SUMIFS(Entrada!D:D,Entrada!B:B,A37)</f>
        <v>238</v>
      </c>
      <c r="G37" s="4">
        <f>SUMIFS(Saida!D:D,Saida!B:B,A37)</f>
        <v>221</v>
      </c>
      <c r="H37" s="4">
        <f t="shared" si="1"/>
        <v>17</v>
      </c>
      <c r="I37" s="7">
        <f t="shared" si="2"/>
        <v>13182.48</v>
      </c>
    </row>
    <row r="38" ht="15.75" customHeight="1">
      <c r="A38" s="4" t="s">
        <v>12</v>
      </c>
      <c r="B38" s="4" t="s">
        <v>13</v>
      </c>
      <c r="C38" s="4" t="s">
        <v>161</v>
      </c>
      <c r="D38" s="4" t="s">
        <v>162</v>
      </c>
      <c r="E38" s="4">
        <v>200.74</v>
      </c>
      <c r="F38" s="4">
        <f>SUMIFS(Entrada!D:D,Entrada!B:B,A38)</f>
        <v>428</v>
      </c>
      <c r="G38" s="4">
        <f>SUMIFS(Saida!D:D,Saida!B:B,A38)</f>
        <v>133</v>
      </c>
      <c r="H38" s="4">
        <f t="shared" si="1"/>
        <v>295</v>
      </c>
      <c r="I38" s="7">
        <f t="shared" si="2"/>
        <v>59218.3</v>
      </c>
    </row>
    <row r="39" ht="15.75" customHeight="1">
      <c r="A39" s="4" t="s">
        <v>127</v>
      </c>
      <c r="B39" s="4" t="s">
        <v>22</v>
      </c>
      <c r="C39" s="4" t="s">
        <v>167</v>
      </c>
      <c r="D39" s="4" t="s">
        <v>170</v>
      </c>
      <c r="E39" s="4">
        <v>347.43</v>
      </c>
      <c r="F39" s="4">
        <f>SUMIFS(Entrada!D:D,Entrada!B:B,A39)</f>
        <v>218</v>
      </c>
      <c r="G39" s="4">
        <f>SUMIFS(Saida!D:D,Saida!B:B,A39)</f>
        <v>165</v>
      </c>
      <c r="H39" s="4">
        <f t="shared" si="1"/>
        <v>53</v>
      </c>
      <c r="I39" s="7">
        <f t="shared" si="2"/>
        <v>18413.79</v>
      </c>
    </row>
    <row r="40" ht="15.75" customHeight="1">
      <c r="A40" s="4" t="s">
        <v>126</v>
      </c>
      <c r="B40" s="4" t="s">
        <v>26</v>
      </c>
      <c r="C40" s="4" t="s">
        <v>167</v>
      </c>
      <c r="D40" s="4" t="s">
        <v>152</v>
      </c>
      <c r="E40" s="4">
        <v>705.93</v>
      </c>
      <c r="F40" s="4">
        <f>SUMIFS(Entrada!D:D,Entrada!B:B,A40)</f>
        <v>402</v>
      </c>
      <c r="G40" s="4">
        <f>SUMIFS(Saida!D:D,Saida!B:B,A40)</f>
        <v>137</v>
      </c>
      <c r="H40" s="4">
        <f t="shared" si="1"/>
        <v>265</v>
      </c>
      <c r="I40" s="7">
        <f t="shared" si="2"/>
        <v>187071.45</v>
      </c>
    </row>
    <row r="41" ht="15.75" customHeight="1">
      <c r="A41" s="4" t="s">
        <v>130</v>
      </c>
      <c r="B41" s="4" t="s">
        <v>52</v>
      </c>
      <c r="C41" s="4" t="s">
        <v>155</v>
      </c>
      <c r="D41" s="4" t="s">
        <v>170</v>
      </c>
      <c r="E41" s="4">
        <v>365.28</v>
      </c>
      <c r="F41" s="4">
        <f>SUMIFS(Entrada!D:D,Entrada!B:B,A41)</f>
        <v>80</v>
      </c>
      <c r="G41" s="4">
        <f>SUMIFS(Saida!D:D,Saida!B:B,A41)</f>
        <v>139</v>
      </c>
      <c r="H41" s="4">
        <f t="shared" si="1"/>
        <v>-59</v>
      </c>
      <c r="I41" s="7">
        <f t="shared" si="2"/>
        <v>-21551.52</v>
      </c>
    </row>
    <row r="42" ht="15.75" customHeight="1">
      <c r="A42" s="4" t="s">
        <v>76</v>
      </c>
      <c r="B42" s="4" t="s">
        <v>22</v>
      </c>
      <c r="C42" s="4" t="s">
        <v>176</v>
      </c>
      <c r="D42" s="4" t="s">
        <v>159</v>
      </c>
      <c r="E42" s="4">
        <v>536.77</v>
      </c>
      <c r="F42" s="4">
        <f>SUMIFS(Entrada!D:D,Entrada!B:B,A42)</f>
        <v>242</v>
      </c>
      <c r="G42" s="4">
        <f>SUMIFS(Saida!D:D,Saida!B:B,A42)</f>
        <v>97</v>
      </c>
      <c r="H42" s="4">
        <f t="shared" si="1"/>
        <v>145</v>
      </c>
      <c r="I42" s="7">
        <f t="shared" si="2"/>
        <v>77831.65</v>
      </c>
    </row>
    <row r="43" ht="15.75" customHeight="1">
      <c r="A43" s="4" t="s">
        <v>112</v>
      </c>
      <c r="B43" s="4" t="s">
        <v>31</v>
      </c>
      <c r="C43" s="4" t="s">
        <v>167</v>
      </c>
      <c r="D43" s="4" t="s">
        <v>152</v>
      </c>
      <c r="E43" s="4">
        <v>877.23</v>
      </c>
      <c r="F43" s="4">
        <f>SUMIFS(Entrada!D:D,Entrada!B:B,A43)</f>
        <v>258</v>
      </c>
      <c r="G43" s="4">
        <f>SUMIFS(Saida!D:D,Saida!B:B,A43)</f>
        <v>231</v>
      </c>
      <c r="H43" s="4">
        <f t="shared" si="1"/>
        <v>27</v>
      </c>
      <c r="I43" s="7">
        <f t="shared" si="2"/>
        <v>23685.21</v>
      </c>
    </row>
    <row r="44" ht="15.75" customHeight="1">
      <c r="A44" s="4" t="s">
        <v>139</v>
      </c>
      <c r="B44" s="4" t="s">
        <v>109</v>
      </c>
      <c r="C44" s="4" t="s">
        <v>167</v>
      </c>
      <c r="D44" s="4" t="s">
        <v>162</v>
      </c>
      <c r="E44" s="4">
        <v>379.85</v>
      </c>
      <c r="F44" s="4">
        <f>SUMIFS(Entrada!D:D,Entrada!B:B,A44)</f>
        <v>129</v>
      </c>
      <c r="G44" s="4">
        <f>SUMIFS(Saida!D:D,Saida!B:B,A44)</f>
        <v>176</v>
      </c>
      <c r="H44" s="4">
        <f t="shared" si="1"/>
        <v>-47</v>
      </c>
      <c r="I44" s="7">
        <f t="shared" si="2"/>
        <v>-17852.95</v>
      </c>
    </row>
    <row r="45" ht="15.75" customHeight="1">
      <c r="A45" s="4" t="s">
        <v>101</v>
      </c>
      <c r="B45" s="4" t="s">
        <v>24</v>
      </c>
      <c r="C45" s="4" t="s">
        <v>153</v>
      </c>
      <c r="D45" s="4" t="s">
        <v>159</v>
      </c>
      <c r="E45" s="4">
        <v>991.03</v>
      </c>
      <c r="F45" s="4">
        <f>SUMIFS(Entrada!D:D,Entrada!B:B,A45)</f>
        <v>348</v>
      </c>
      <c r="G45" s="4">
        <f>SUMIFS(Saida!D:D,Saida!B:B,A45)</f>
        <v>153</v>
      </c>
      <c r="H45" s="4">
        <f t="shared" si="1"/>
        <v>195</v>
      </c>
      <c r="I45" s="7">
        <f t="shared" si="2"/>
        <v>193250.85</v>
      </c>
    </row>
    <row r="46" ht="15.75" customHeight="1">
      <c r="A46" s="4" t="s">
        <v>97</v>
      </c>
      <c r="B46" s="4" t="s">
        <v>52</v>
      </c>
      <c r="C46" s="4" t="s">
        <v>165</v>
      </c>
      <c r="D46" s="4" t="s">
        <v>159</v>
      </c>
      <c r="E46" s="4">
        <v>174.26</v>
      </c>
      <c r="F46" s="4">
        <f>SUMIFS(Entrada!D:D,Entrada!B:B,A46)</f>
        <v>297</v>
      </c>
      <c r="G46" s="4">
        <f>SUMIFS(Saida!D:D,Saida!B:B,A46)</f>
        <v>160</v>
      </c>
      <c r="H46" s="4">
        <f t="shared" si="1"/>
        <v>137</v>
      </c>
      <c r="I46" s="7">
        <f t="shared" si="2"/>
        <v>23873.62</v>
      </c>
    </row>
    <row r="47" ht="15.75" customHeight="1">
      <c r="A47" s="4" t="s">
        <v>15</v>
      </c>
      <c r="B47" s="4" t="s">
        <v>16</v>
      </c>
      <c r="C47" s="4" t="s">
        <v>177</v>
      </c>
      <c r="D47" s="4" t="s">
        <v>164</v>
      </c>
      <c r="E47" s="4">
        <v>339.98</v>
      </c>
      <c r="F47" s="4">
        <f>SUMIFS(Entrada!D:D,Entrada!B:B,A47)</f>
        <v>116</v>
      </c>
      <c r="G47" s="4">
        <f>SUMIFS(Saida!D:D,Saida!B:B,A47)</f>
        <v>154</v>
      </c>
      <c r="H47" s="4">
        <f t="shared" si="1"/>
        <v>-38</v>
      </c>
      <c r="I47" s="7">
        <f t="shared" si="2"/>
        <v>-12919.24</v>
      </c>
    </row>
    <row r="48" ht="15.75" customHeight="1">
      <c r="A48" s="4" t="s">
        <v>106</v>
      </c>
      <c r="B48" s="4" t="s">
        <v>50</v>
      </c>
      <c r="C48" s="4" t="s">
        <v>153</v>
      </c>
      <c r="D48" s="4" t="s">
        <v>152</v>
      </c>
      <c r="E48" s="4">
        <v>143.75</v>
      </c>
      <c r="F48" s="4">
        <f>SUMIFS(Entrada!D:D,Entrada!B:B,A48)</f>
        <v>297</v>
      </c>
      <c r="G48" s="4">
        <f>SUMIFS(Saida!D:D,Saida!B:B,A48)</f>
        <v>17</v>
      </c>
      <c r="H48" s="4">
        <f t="shared" si="1"/>
        <v>280</v>
      </c>
      <c r="I48" s="7">
        <f t="shared" si="2"/>
        <v>40250</v>
      </c>
    </row>
    <row r="49" ht="15.75" customHeight="1">
      <c r="A49" s="4" t="s">
        <v>142</v>
      </c>
      <c r="B49" s="4" t="s">
        <v>5</v>
      </c>
      <c r="C49" s="4" t="s">
        <v>165</v>
      </c>
      <c r="D49" s="4" t="s">
        <v>170</v>
      </c>
      <c r="E49" s="4">
        <v>124.79</v>
      </c>
      <c r="F49" s="4">
        <f>SUMIFS(Entrada!D:D,Entrada!B:B,A49)</f>
        <v>0</v>
      </c>
      <c r="G49" s="4">
        <f>SUMIFS(Saida!D:D,Saida!B:B,A49)</f>
        <v>99</v>
      </c>
      <c r="H49" s="4">
        <f t="shared" si="1"/>
        <v>-99</v>
      </c>
      <c r="I49" s="7">
        <f t="shared" si="2"/>
        <v>-12354.21</v>
      </c>
    </row>
    <row r="50" ht="15.75" customHeight="1">
      <c r="A50" s="4" t="s">
        <v>21</v>
      </c>
      <c r="B50" s="4" t="s">
        <v>22</v>
      </c>
      <c r="C50" s="4" t="s">
        <v>168</v>
      </c>
      <c r="D50" s="4" t="s">
        <v>162</v>
      </c>
      <c r="E50" s="4">
        <v>539.37</v>
      </c>
      <c r="F50" s="4">
        <f>SUMIFS(Entrada!D:D,Entrada!B:B,A50)</f>
        <v>407</v>
      </c>
      <c r="G50" s="4">
        <f>SUMIFS(Saida!D:D,Saida!B:B,A50)</f>
        <v>212</v>
      </c>
      <c r="H50" s="4">
        <f t="shared" si="1"/>
        <v>195</v>
      </c>
      <c r="I50" s="7">
        <f t="shared" si="2"/>
        <v>105177.15</v>
      </c>
    </row>
    <row r="51" ht="15.75" customHeight="1">
      <c r="A51" s="4" t="s">
        <v>6</v>
      </c>
      <c r="B51" s="4" t="s">
        <v>5</v>
      </c>
      <c r="C51" s="4" t="s">
        <v>173</v>
      </c>
      <c r="D51" s="4" t="s">
        <v>152</v>
      </c>
      <c r="E51" s="4">
        <v>121.42</v>
      </c>
      <c r="F51" s="4">
        <f>SUMIFS(Entrada!D:D,Entrada!B:B,A51)</f>
        <v>327</v>
      </c>
      <c r="G51" s="4">
        <f>SUMIFS(Saida!D:D,Saida!B:B,A51)</f>
        <v>202</v>
      </c>
      <c r="H51" s="4">
        <f t="shared" si="1"/>
        <v>125</v>
      </c>
      <c r="I51" s="7">
        <f t="shared" si="2"/>
        <v>15177.5</v>
      </c>
    </row>
    <row r="52" ht="15.75" customHeight="1">
      <c r="A52" s="4" t="s">
        <v>54</v>
      </c>
      <c r="B52" s="4" t="s">
        <v>22</v>
      </c>
      <c r="C52" s="4" t="s">
        <v>173</v>
      </c>
      <c r="D52" s="4" t="s">
        <v>156</v>
      </c>
      <c r="E52" s="4">
        <v>188.17</v>
      </c>
      <c r="F52" s="4">
        <f>SUMIFS(Entrada!D:D,Entrada!B:B,A52)</f>
        <v>169</v>
      </c>
      <c r="G52" s="4">
        <f>SUMIFS(Saida!D:D,Saida!B:B,A52)</f>
        <v>107</v>
      </c>
      <c r="H52" s="4">
        <f t="shared" si="1"/>
        <v>62</v>
      </c>
      <c r="I52" s="7">
        <f t="shared" si="2"/>
        <v>11666.54</v>
      </c>
    </row>
    <row r="53" ht="15.75" customHeight="1">
      <c r="A53" s="4" t="s">
        <v>11</v>
      </c>
      <c r="B53" s="4" t="s">
        <v>5</v>
      </c>
      <c r="C53" s="4" t="s">
        <v>174</v>
      </c>
      <c r="D53" s="4" t="s">
        <v>164</v>
      </c>
      <c r="E53" s="4">
        <v>216.51</v>
      </c>
      <c r="F53" s="4">
        <f>SUMIFS(Entrada!D:D,Entrada!B:B,A53)</f>
        <v>405</v>
      </c>
      <c r="G53" s="4">
        <f>SUMIFS(Saida!D:D,Saida!B:B,A53)</f>
        <v>45</v>
      </c>
      <c r="H53" s="4">
        <f t="shared" si="1"/>
        <v>360</v>
      </c>
      <c r="I53" s="7">
        <f t="shared" si="2"/>
        <v>77943.6</v>
      </c>
    </row>
    <row r="54" ht="15.75" customHeight="1">
      <c r="A54" s="4" t="s">
        <v>55</v>
      </c>
      <c r="B54" s="4" t="s">
        <v>24</v>
      </c>
      <c r="C54" s="4" t="s">
        <v>167</v>
      </c>
      <c r="D54" s="4" t="s">
        <v>170</v>
      </c>
      <c r="E54" s="4">
        <v>919.26</v>
      </c>
      <c r="F54" s="4">
        <f>SUMIFS(Entrada!D:D,Entrada!B:B,A54)</f>
        <v>324</v>
      </c>
      <c r="G54" s="4">
        <f>SUMIFS(Saida!D:D,Saida!B:B,A54)</f>
        <v>95</v>
      </c>
      <c r="H54" s="4">
        <f t="shared" si="1"/>
        <v>229</v>
      </c>
      <c r="I54" s="7">
        <f t="shared" si="2"/>
        <v>210510.54</v>
      </c>
    </row>
    <row r="55" ht="15.75" customHeight="1">
      <c r="A55" s="4" t="s">
        <v>35</v>
      </c>
      <c r="B55" s="4" t="s">
        <v>8</v>
      </c>
      <c r="C55" s="4" t="s">
        <v>160</v>
      </c>
      <c r="D55" s="4" t="s">
        <v>152</v>
      </c>
      <c r="E55" s="4">
        <v>504.18</v>
      </c>
      <c r="F55" s="4">
        <f>SUMIFS(Entrada!D:D,Entrada!B:B,A55)</f>
        <v>655</v>
      </c>
      <c r="G55" s="4">
        <f>SUMIFS(Saida!D:D,Saida!B:B,A55)</f>
        <v>64</v>
      </c>
      <c r="H55" s="4">
        <f t="shared" si="1"/>
        <v>591</v>
      </c>
      <c r="I55" s="7">
        <f t="shared" si="2"/>
        <v>297970.38</v>
      </c>
    </row>
    <row r="56" ht="15.75" customHeight="1">
      <c r="A56" s="4" t="s">
        <v>25</v>
      </c>
      <c r="B56" s="4" t="s">
        <v>26</v>
      </c>
      <c r="C56" s="4" t="s">
        <v>160</v>
      </c>
      <c r="D56" s="4" t="s">
        <v>170</v>
      </c>
      <c r="E56" s="4">
        <v>793.19</v>
      </c>
      <c r="F56" s="4">
        <f>SUMIFS(Entrada!D:D,Entrada!B:B,A56)</f>
        <v>555</v>
      </c>
      <c r="G56" s="4">
        <f>SUMIFS(Saida!D:D,Saida!B:B,A56)</f>
        <v>26</v>
      </c>
      <c r="H56" s="4">
        <f t="shared" si="1"/>
        <v>529</v>
      </c>
      <c r="I56" s="7">
        <f t="shared" si="2"/>
        <v>419597.51</v>
      </c>
    </row>
    <row r="57" ht="15.75" customHeight="1">
      <c r="A57" s="4" t="s">
        <v>121</v>
      </c>
      <c r="B57" s="4" t="s">
        <v>50</v>
      </c>
      <c r="C57" s="4" t="s">
        <v>166</v>
      </c>
      <c r="D57" s="4" t="s">
        <v>162</v>
      </c>
      <c r="E57" s="4">
        <v>542.75</v>
      </c>
      <c r="F57" s="4">
        <f>SUMIFS(Entrada!D:D,Entrada!B:B,A57)</f>
        <v>238</v>
      </c>
      <c r="G57" s="4">
        <f>SUMIFS(Saida!D:D,Saida!B:B,A57)</f>
        <v>105</v>
      </c>
      <c r="H57" s="4">
        <f t="shared" si="1"/>
        <v>133</v>
      </c>
      <c r="I57" s="7">
        <f t="shared" si="2"/>
        <v>72185.75</v>
      </c>
    </row>
    <row r="58" ht="15.75" customHeight="1">
      <c r="A58" s="4" t="s">
        <v>96</v>
      </c>
      <c r="B58" s="4" t="s">
        <v>50</v>
      </c>
      <c r="C58" s="4" t="s">
        <v>151</v>
      </c>
      <c r="D58" s="4" t="s">
        <v>154</v>
      </c>
      <c r="E58" s="4">
        <v>363.9</v>
      </c>
      <c r="F58" s="4">
        <f>SUMIFS(Entrada!D:D,Entrada!B:B,A58)</f>
        <v>523</v>
      </c>
      <c r="G58" s="4">
        <f>SUMIFS(Saida!D:D,Saida!B:B,A58)</f>
        <v>179</v>
      </c>
      <c r="H58" s="4">
        <f t="shared" si="1"/>
        <v>344</v>
      </c>
      <c r="I58" s="7">
        <f t="shared" si="2"/>
        <v>125181.6</v>
      </c>
    </row>
    <row r="59" ht="15.75" customHeight="1">
      <c r="A59" s="4" t="s">
        <v>81</v>
      </c>
      <c r="B59" s="4" t="s">
        <v>82</v>
      </c>
      <c r="C59" s="4" t="s">
        <v>171</v>
      </c>
      <c r="D59" s="4" t="s">
        <v>154</v>
      </c>
      <c r="E59" s="4">
        <v>584.17</v>
      </c>
      <c r="F59" s="4">
        <f>SUMIFS(Entrada!D:D,Entrada!B:B,A59)</f>
        <v>354</v>
      </c>
      <c r="G59" s="4">
        <f>SUMIFS(Saida!D:D,Saida!B:B,A59)</f>
        <v>238</v>
      </c>
      <c r="H59" s="4">
        <f t="shared" si="1"/>
        <v>116</v>
      </c>
      <c r="I59" s="7">
        <f t="shared" si="2"/>
        <v>67763.72</v>
      </c>
    </row>
    <row r="60" ht="15.75" customHeight="1">
      <c r="A60" s="4" t="s">
        <v>17</v>
      </c>
      <c r="B60" s="4" t="s">
        <v>16</v>
      </c>
      <c r="C60" s="4" t="s">
        <v>165</v>
      </c>
      <c r="D60" s="4" t="s">
        <v>152</v>
      </c>
      <c r="E60" s="4">
        <v>820.78</v>
      </c>
      <c r="F60" s="4">
        <f>SUMIFS(Entrada!D:D,Entrada!B:B,A60)</f>
        <v>406</v>
      </c>
      <c r="G60" s="4">
        <f>SUMIFS(Saida!D:D,Saida!B:B,A60)</f>
        <v>346</v>
      </c>
      <c r="H60" s="4">
        <f t="shared" si="1"/>
        <v>60</v>
      </c>
      <c r="I60" s="7">
        <f t="shared" si="2"/>
        <v>49246.8</v>
      </c>
    </row>
    <row r="61" ht="15.75" customHeight="1">
      <c r="A61" s="4" t="s">
        <v>43</v>
      </c>
      <c r="B61" s="4" t="s">
        <v>16</v>
      </c>
      <c r="C61" s="4" t="s">
        <v>167</v>
      </c>
      <c r="D61" s="4" t="s">
        <v>152</v>
      </c>
      <c r="E61" s="4">
        <v>92.41</v>
      </c>
      <c r="F61" s="4">
        <f>SUMIFS(Entrada!D:D,Entrada!B:B,A61)</f>
        <v>448</v>
      </c>
      <c r="G61" s="4">
        <f>SUMIFS(Saida!D:D,Saida!B:B,A61)</f>
        <v>71</v>
      </c>
      <c r="H61" s="4">
        <f t="shared" si="1"/>
        <v>377</v>
      </c>
      <c r="I61" s="7">
        <f t="shared" si="2"/>
        <v>34838.57</v>
      </c>
    </row>
    <row r="62" ht="15.75" customHeight="1">
      <c r="A62" s="4" t="s">
        <v>45</v>
      </c>
      <c r="B62" s="4" t="s">
        <v>24</v>
      </c>
      <c r="C62" s="4" t="s">
        <v>161</v>
      </c>
      <c r="D62" s="4" t="s">
        <v>154</v>
      </c>
      <c r="E62" s="4">
        <v>977.6</v>
      </c>
      <c r="F62" s="4">
        <f>SUMIFS(Entrada!D:D,Entrada!B:B,A62)</f>
        <v>594</v>
      </c>
      <c r="G62" s="4">
        <f>SUMIFS(Saida!D:D,Saida!B:B,A62)</f>
        <v>246</v>
      </c>
      <c r="H62" s="4">
        <f t="shared" si="1"/>
        <v>348</v>
      </c>
      <c r="I62" s="7">
        <f t="shared" si="2"/>
        <v>340204.8</v>
      </c>
    </row>
    <row r="63" ht="15.75" customHeight="1">
      <c r="A63" s="4" t="s">
        <v>118</v>
      </c>
      <c r="B63" s="4" t="s">
        <v>52</v>
      </c>
      <c r="C63" s="4" t="s">
        <v>177</v>
      </c>
      <c r="D63" s="4" t="s">
        <v>156</v>
      </c>
      <c r="E63" s="4">
        <v>580.81</v>
      </c>
      <c r="F63" s="4">
        <f>SUMIFS(Entrada!D:D,Entrada!B:B,A63)</f>
        <v>73</v>
      </c>
      <c r="G63" s="4">
        <f>SUMIFS(Saida!D:D,Saida!B:B,A63)</f>
        <v>180</v>
      </c>
      <c r="H63" s="4">
        <f t="shared" si="1"/>
        <v>-107</v>
      </c>
      <c r="I63" s="7">
        <f t="shared" si="2"/>
        <v>-62146.67</v>
      </c>
    </row>
    <row r="64" ht="15.75" customHeight="1">
      <c r="A64" s="4" t="s">
        <v>117</v>
      </c>
      <c r="B64" s="4" t="s">
        <v>28</v>
      </c>
      <c r="C64" s="4" t="s">
        <v>172</v>
      </c>
      <c r="D64" s="4" t="s">
        <v>170</v>
      </c>
      <c r="E64" s="4">
        <v>383.87</v>
      </c>
      <c r="F64" s="4">
        <f>SUMIFS(Entrada!D:D,Entrada!B:B,A64)</f>
        <v>174</v>
      </c>
      <c r="G64" s="4">
        <f>SUMIFS(Saida!D:D,Saida!B:B,A64)</f>
        <v>281</v>
      </c>
      <c r="H64" s="4">
        <f t="shared" si="1"/>
        <v>-107</v>
      </c>
      <c r="I64" s="7">
        <f t="shared" si="2"/>
        <v>-41074.09</v>
      </c>
    </row>
    <row r="65" ht="15.75" customHeight="1">
      <c r="A65" s="4" t="s">
        <v>53</v>
      </c>
      <c r="B65" s="4" t="s">
        <v>50</v>
      </c>
      <c r="C65" s="4" t="s">
        <v>158</v>
      </c>
      <c r="D65" s="4" t="s">
        <v>170</v>
      </c>
      <c r="E65" s="4">
        <v>723.8</v>
      </c>
      <c r="F65" s="4">
        <f>SUMIFS(Entrada!D:D,Entrada!B:B,A65)</f>
        <v>294</v>
      </c>
      <c r="G65" s="4">
        <f>SUMIFS(Saida!D:D,Saida!B:B,A65)</f>
        <v>276</v>
      </c>
      <c r="H65" s="4">
        <f t="shared" si="1"/>
        <v>18</v>
      </c>
      <c r="I65" s="7">
        <f t="shared" si="2"/>
        <v>13028.4</v>
      </c>
    </row>
    <row r="66" ht="15.75" customHeight="1">
      <c r="A66" s="4" t="s">
        <v>72</v>
      </c>
      <c r="B66" s="4" t="s">
        <v>13</v>
      </c>
      <c r="C66" s="4" t="s">
        <v>163</v>
      </c>
      <c r="D66" s="4" t="s">
        <v>170</v>
      </c>
      <c r="E66" s="4">
        <v>503.07</v>
      </c>
      <c r="F66" s="4">
        <f>SUMIFS(Entrada!D:D,Entrada!B:B,A66)</f>
        <v>209</v>
      </c>
      <c r="G66" s="4">
        <f>SUMIFS(Saida!D:D,Saida!B:B,A66)</f>
        <v>273</v>
      </c>
      <c r="H66" s="4">
        <f t="shared" si="1"/>
        <v>-64</v>
      </c>
      <c r="I66" s="7">
        <f t="shared" si="2"/>
        <v>-32196.48</v>
      </c>
    </row>
    <row r="67" ht="15.75" customHeight="1">
      <c r="A67" s="4" t="s">
        <v>64</v>
      </c>
      <c r="B67" s="4" t="s">
        <v>41</v>
      </c>
      <c r="C67" s="4" t="s">
        <v>177</v>
      </c>
      <c r="D67" s="4" t="s">
        <v>154</v>
      </c>
      <c r="E67" s="4">
        <v>742.3</v>
      </c>
      <c r="F67" s="4">
        <f>SUMIFS(Entrada!D:D,Entrada!B:B,A67)</f>
        <v>392</v>
      </c>
      <c r="G67" s="4">
        <f>SUMIFS(Saida!D:D,Saida!B:B,A67)</f>
        <v>152</v>
      </c>
      <c r="H67" s="4">
        <f t="shared" si="1"/>
        <v>240</v>
      </c>
      <c r="I67" s="7">
        <f t="shared" si="2"/>
        <v>178152</v>
      </c>
    </row>
    <row r="68" ht="15.75" customHeight="1">
      <c r="A68" s="4" t="s">
        <v>37</v>
      </c>
      <c r="B68" s="4" t="s">
        <v>8</v>
      </c>
      <c r="C68" s="4" t="s">
        <v>160</v>
      </c>
      <c r="D68" s="4" t="s">
        <v>164</v>
      </c>
      <c r="E68" s="4">
        <v>506.5</v>
      </c>
      <c r="F68" s="4">
        <f>SUMIFS(Entrada!D:D,Entrada!B:B,A68)</f>
        <v>291</v>
      </c>
      <c r="G68" s="4">
        <f>SUMIFS(Saida!D:D,Saida!B:B,A68)</f>
        <v>70</v>
      </c>
      <c r="H68" s="4">
        <f t="shared" si="1"/>
        <v>221</v>
      </c>
      <c r="I68" s="7">
        <f t="shared" si="2"/>
        <v>111936.5</v>
      </c>
    </row>
    <row r="69" ht="15.75" customHeight="1">
      <c r="A69" s="4" t="s">
        <v>57</v>
      </c>
      <c r="B69" s="4" t="s">
        <v>8</v>
      </c>
      <c r="C69" s="4" t="s">
        <v>160</v>
      </c>
      <c r="D69" s="4" t="s">
        <v>164</v>
      </c>
      <c r="E69" s="4">
        <v>863.63</v>
      </c>
      <c r="F69" s="4">
        <f>SUMIFS(Entrada!D:D,Entrada!B:B,A69)</f>
        <v>394</v>
      </c>
      <c r="G69" s="4">
        <f>SUMIFS(Saida!D:D,Saida!B:B,A69)</f>
        <v>138</v>
      </c>
      <c r="H69" s="4">
        <f t="shared" si="1"/>
        <v>256</v>
      </c>
      <c r="I69" s="7">
        <f t="shared" si="2"/>
        <v>221089.28</v>
      </c>
    </row>
    <row r="70" ht="15.75" customHeight="1">
      <c r="A70" s="4" t="s">
        <v>9</v>
      </c>
      <c r="B70" s="4" t="s">
        <v>8</v>
      </c>
      <c r="C70" s="4" t="s">
        <v>151</v>
      </c>
      <c r="D70" s="4" t="s">
        <v>170</v>
      </c>
      <c r="E70" s="4">
        <v>577.43</v>
      </c>
      <c r="F70" s="4">
        <f>SUMIFS(Entrada!D:D,Entrada!B:B,A70)</f>
        <v>298</v>
      </c>
      <c r="G70" s="4">
        <f>SUMIFS(Saida!D:D,Saida!B:B,A70)</f>
        <v>244</v>
      </c>
      <c r="H70" s="4">
        <f t="shared" si="1"/>
        <v>54</v>
      </c>
      <c r="I70" s="7">
        <f t="shared" si="2"/>
        <v>31181.22</v>
      </c>
    </row>
    <row r="71" ht="15.75" customHeight="1">
      <c r="A71" s="4" t="s">
        <v>68</v>
      </c>
      <c r="B71" s="4" t="s">
        <v>62</v>
      </c>
      <c r="C71" s="4" t="s">
        <v>151</v>
      </c>
      <c r="D71" s="4" t="s">
        <v>162</v>
      </c>
      <c r="E71" s="4">
        <v>588.87</v>
      </c>
      <c r="F71" s="4">
        <f>SUMIFS(Entrada!D:D,Entrada!B:B,A71)</f>
        <v>321</v>
      </c>
      <c r="G71" s="4">
        <f>SUMIFS(Saida!D:D,Saida!B:B,A71)</f>
        <v>193</v>
      </c>
      <c r="H71" s="4">
        <f t="shared" si="1"/>
        <v>128</v>
      </c>
      <c r="I71" s="7">
        <f t="shared" si="2"/>
        <v>75375.36</v>
      </c>
    </row>
    <row r="72" ht="15.75" customHeight="1">
      <c r="A72" s="4" t="s">
        <v>138</v>
      </c>
      <c r="B72" s="4" t="s">
        <v>85</v>
      </c>
      <c r="C72" s="4" t="s">
        <v>177</v>
      </c>
      <c r="D72" s="4" t="s">
        <v>159</v>
      </c>
      <c r="E72" s="4">
        <v>741.36</v>
      </c>
      <c r="F72" s="4">
        <f>SUMIFS(Entrada!D:D,Entrada!B:B,A72)</f>
        <v>131</v>
      </c>
      <c r="G72" s="4">
        <f>SUMIFS(Saida!D:D,Saida!B:B,A72)</f>
        <v>197</v>
      </c>
      <c r="H72" s="4">
        <f t="shared" si="1"/>
        <v>-66</v>
      </c>
      <c r="I72" s="7">
        <f t="shared" si="2"/>
        <v>-48929.76</v>
      </c>
    </row>
    <row r="73" ht="15.75" customHeight="1">
      <c r="A73" s="4" t="s">
        <v>49</v>
      </c>
      <c r="B73" s="4" t="s">
        <v>50</v>
      </c>
      <c r="C73" s="4" t="s">
        <v>161</v>
      </c>
      <c r="D73" s="4" t="s">
        <v>170</v>
      </c>
      <c r="E73" s="4">
        <v>89.57</v>
      </c>
      <c r="F73" s="4">
        <f>SUMIFS(Entrada!D:D,Entrada!B:B,A73)</f>
        <v>404</v>
      </c>
      <c r="G73" s="4">
        <f>SUMIFS(Saida!D:D,Saida!B:B,A73)</f>
        <v>208</v>
      </c>
      <c r="H73" s="4">
        <f t="shared" si="1"/>
        <v>196</v>
      </c>
      <c r="I73" s="7">
        <f t="shared" si="2"/>
        <v>17555.72</v>
      </c>
    </row>
    <row r="74" ht="15.75" customHeight="1">
      <c r="A74" s="4" t="s">
        <v>42</v>
      </c>
      <c r="B74" s="4" t="s">
        <v>24</v>
      </c>
      <c r="C74" s="4" t="s">
        <v>155</v>
      </c>
      <c r="D74" s="4" t="s">
        <v>159</v>
      </c>
      <c r="E74" s="4">
        <v>560.16</v>
      </c>
      <c r="F74" s="4">
        <f>SUMIFS(Entrada!D:D,Entrada!B:B,A74)</f>
        <v>495</v>
      </c>
      <c r="G74" s="4">
        <f>SUMIFS(Saida!D:D,Saida!B:B,A74)</f>
        <v>201</v>
      </c>
      <c r="H74" s="4">
        <f t="shared" si="1"/>
        <v>294</v>
      </c>
      <c r="I74" s="7">
        <f t="shared" si="2"/>
        <v>164687.04</v>
      </c>
    </row>
    <row r="75" ht="15.75" customHeight="1">
      <c r="A75" s="4" t="s">
        <v>140</v>
      </c>
      <c r="B75" s="4" t="s">
        <v>85</v>
      </c>
      <c r="C75" s="4" t="s">
        <v>163</v>
      </c>
      <c r="D75" s="4" t="s">
        <v>170</v>
      </c>
      <c r="E75" s="4">
        <v>306.18</v>
      </c>
      <c r="F75" s="4">
        <f>SUMIFS(Entrada!D:D,Entrada!B:B,A75)</f>
        <v>8</v>
      </c>
      <c r="G75" s="4">
        <f>SUMIFS(Saida!D:D,Saida!B:B,A75)</f>
        <v>215</v>
      </c>
      <c r="H75" s="4">
        <f t="shared" si="1"/>
        <v>-207</v>
      </c>
      <c r="I75" s="7">
        <f t="shared" si="2"/>
        <v>-63379.26</v>
      </c>
    </row>
    <row r="76" ht="15.75" customHeight="1">
      <c r="A76" s="4" t="s">
        <v>58</v>
      </c>
      <c r="B76" s="4" t="s">
        <v>24</v>
      </c>
      <c r="C76" s="4" t="s">
        <v>176</v>
      </c>
      <c r="D76" s="4" t="s">
        <v>162</v>
      </c>
      <c r="E76" s="4">
        <v>499.23</v>
      </c>
      <c r="F76" s="4">
        <f>SUMIFS(Entrada!D:D,Entrada!B:B,A76)</f>
        <v>475</v>
      </c>
      <c r="G76" s="4">
        <f>SUMIFS(Saida!D:D,Saida!B:B,A76)</f>
        <v>112</v>
      </c>
      <c r="H76" s="4">
        <f t="shared" si="1"/>
        <v>363</v>
      </c>
      <c r="I76" s="7">
        <f t="shared" si="2"/>
        <v>181220.49</v>
      </c>
    </row>
    <row r="77" ht="15.75" customHeight="1">
      <c r="A77" s="4" t="s">
        <v>77</v>
      </c>
      <c r="B77" s="4" t="s">
        <v>50</v>
      </c>
      <c r="C77" s="4" t="s">
        <v>160</v>
      </c>
      <c r="D77" s="4" t="s">
        <v>164</v>
      </c>
      <c r="E77" s="4">
        <v>833.87</v>
      </c>
      <c r="F77" s="4">
        <f>SUMIFS(Entrada!D:D,Entrada!B:B,A77)</f>
        <v>424</v>
      </c>
      <c r="G77" s="4">
        <f>SUMIFS(Saida!D:D,Saida!B:B,A77)</f>
        <v>232</v>
      </c>
      <c r="H77" s="4">
        <f t="shared" si="1"/>
        <v>192</v>
      </c>
      <c r="I77" s="7">
        <f t="shared" si="2"/>
        <v>160103.04</v>
      </c>
    </row>
    <row r="78" ht="15.75" customHeight="1">
      <c r="A78" s="4" t="s">
        <v>94</v>
      </c>
      <c r="B78" s="4" t="s">
        <v>52</v>
      </c>
      <c r="C78" s="4" t="s">
        <v>151</v>
      </c>
      <c r="D78" s="4" t="s">
        <v>159</v>
      </c>
      <c r="E78" s="4">
        <v>280.29</v>
      </c>
      <c r="F78" s="4">
        <f>SUMIFS(Entrada!D:D,Entrada!B:B,A78)</f>
        <v>126</v>
      </c>
      <c r="G78" s="4">
        <f>SUMIFS(Saida!D:D,Saida!B:B,A78)</f>
        <v>172</v>
      </c>
      <c r="H78" s="4">
        <f t="shared" si="1"/>
        <v>-46</v>
      </c>
      <c r="I78" s="7">
        <f t="shared" si="2"/>
        <v>-12893.34</v>
      </c>
    </row>
    <row r="79" ht="15.75" customHeight="1">
      <c r="A79" s="4" t="s">
        <v>83</v>
      </c>
      <c r="B79" s="4" t="s">
        <v>5</v>
      </c>
      <c r="C79" s="4" t="s">
        <v>166</v>
      </c>
      <c r="D79" s="4" t="s">
        <v>159</v>
      </c>
      <c r="E79" s="4">
        <v>818.42</v>
      </c>
      <c r="F79" s="4">
        <f>SUMIFS(Entrada!D:D,Entrada!B:B,A79)</f>
        <v>410</v>
      </c>
      <c r="G79" s="4">
        <f>SUMIFS(Saida!D:D,Saida!B:B,A79)</f>
        <v>154</v>
      </c>
      <c r="H79" s="4">
        <f t="shared" si="1"/>
        <v>256</v>
      </c>
      <c r="I79" s="7">
        <f t="shared" si="2"/>
        <v>209515.52</v>
      </c>
    </row>
    <row r="80" ht="15.75" customHeight="1">
      <c r="A80" s="4" t="s">
        <v>111</v>
      </c>
      <c r="B80" s="4" t="s">
        <v>109</v>
      </c>
      <c r="C80" s="4" t="s">
        <v>176</v>
      </c>
      <c r="D80" s="4" t="s">
        <v>154</v>
      </c>
      <c r="E80" s="4">
        <v>830.71</v>
      </c>
      <c r="F80" s="4">
        <f>SUMIFS(Entrada!D:D,Entrada!B:B,A80)</f>
        <v>193</v>
      </c>
      <c r="G80" s="4">
        <f>SUMIFS(Saida!D:D,Saida!B:B,A80)</f>
        <v>74</v>
      </c>
      <c r="H80" s="4">
        <f t="shared" si="1"/>
        <v>119</v>
      </c>
      <c r="I80" s="7">
        <f t="shared" si="2"/>
        <v>98854.49</v>
      </c>
    </row>
    <row r="81" ht="15.75" customHeight="1">
      <c r="A81" s="4" t="s">
        <v>103</v>
      </c>
      <c r="B81" s="4" t="s">
        <v>26</v>
      </c>
      <c r="C81" s="4" t="s">
        <v>161</v>
      </c>
      <c r="D81" s="4" t="s">
        <v>154</v>
      </c>
      <c r="E81" s="4">
        <v>306.2</v>
      </c>
      <c r="F81" s="4">
        <f>SUMIFS(Entrada!D:D,Entrada!B:B,A81)</f>
        <v>447</v>
      </c>
      <c r="G81" s="4">
        <f>SUMIFS(Saida!D:D,Saida!B:B,A81)</f>
        <v>131</v>
      </c>
      <c r="H81" s="4">
        <f t="shared" si="1"/>
        <v>316</v>
      </c>
      <c r="I81" s="7">
        <f t="shared" si="2"/>
        <v>96759.2</v>
      </c>
    </row>
    <row r="82" ht="15.75" customHeight="1">
      <c r="A82" s="4" t="s">
        <v>51</v>
      </c>
      <c r="B82" s="4" t="s">
        <v>52</v>
      </c>
      <c r="C82" s="4" t="s">
        <v>151</v>
      </c>
      <c r="D82" s="4" t="s">
        <v>170</v>
      </c>
      <c r="E82" s="4">
        <v>576.61</v>
      </c>
      <c r="F82" s="4">
        <f>SUMIFS(Entrada!D:D,Entrada!B:B,A82)</f>
        <v>698</v>
      </c>
      <c r="G82" s="4">
        <f>SUMIFS(Saida!D:D,Saida!B:B,A82)</f>
        <v>107</v>
      </c>
      <c r="H82" s="4">
        <f t="shared" si="1"/>
        <v>591</v>
      </c>
      <c r="I82" s="7">
        <f t="shared" si="2"/>
        <v>340776.51</v>
      </c>
    </row>
    <row r="83" ht="15.75" customHeight="1">
      <c r="A83" s="4" t="s">
        <v>74</v>
      </c>
      <c r="B83" s="4" t="s">
        <v>75</v>
      </c>
      <c r="C83" s="4" t="s">
        <v>168</v>
      </c>
      <c r="D83" s="4" t="s">
        <v>164</v>
      </c>
      <c r="E83" s="4">
        <v>188.01</v>
      </c>
      <c r="F83" s="4">
        <f>SUMIFS(Entrada!D:D,Entrada!B:B,A83)</f>
        <v>310</v>
      </c>
      <c r="G83" s="4">
        <f>SUMIFS(Saida!D:D,Saida!B:B,A83)</f>
        <v>207</v>
      </c>
      <c r="H83" s="4">
        <f t="shared" si="1"/>
        <v>103</v>
      </c>
      <c r="I83" s="7">
        <f t="shared" si="2"/>
        <v>19365.03</v>
      </c>
    </row>
    <row r="84" ht="15.75" customHeight="1">
      <c r="A84" s="4" t="s">
        <v>33</v>
      </c>
      <c r="B84" s="4" t="s">
        <v>28</v>
      </c>
      <c r="C84" s="4" t="s">
        <v>172</v>
      </c>
      <c r="D84" s="4" t="s">
        <v>164</v>
      </c>
      <c r="E84" s="4">
        <v>401.23</v>
      </c>
      <c r="F84" s="4">
        <f>SUMIFS(Entrada!D:D,Entrada!B:B,A84)</f>
        <v>303</v>
      </c>
      <c r="G84" s="4">
        <f>SUMIFS(Saida!D:D,Saida!B:B,A84)</f>
        <v>13</v>
      </c>
      <c r="H84" s="4">
        <f t="shared" si="1"/>
        <v>290</v>
      </c>
      <c r="I84" s="7">
        <f t="shared" si="2"/>
        <v>116356.7</v>
      </c>
    </row>
    <row r="85" ht="15.75" customHeight="1">
      <c r="A85" s="4" t="s">
        <v>128</v>
      </c>
      <c r="B85" s="4" t="s">
        <v>82</v>
      </c>
      <c r="C85" s="4" t="s">
        <v>173</v>
      </c>
      <c r="D85" s="4" t="s">
        <v>156</v>
      </c>
      <c r="E85" s="4">
        <v>811.47</v>
      </c>
      <c r="F85" s="4">
        <f>SUMIFS(Entrada!D:D,Entrada!B:B,A85)</f>
        <v>257</v>
      </c>
      <c r="G85" s="4">
        <f>SUMIFS(Saida!D:D,Saida!B:B,A85)</f>
        <v>196</v>
      </c>
      <c r="H85" s="4">
        <f t="shared" si="1"/>
        <v>61</v>
      </c>
      <c r="I85" s="7">
        <f t="shared" si="2"/>
        <v>49499.67</v>
      </c>
    </row>
    <row r="86" ht="15.75" customHeight="1">
      <c r="A86" s="4" t="s">
        <v>104</v>
      </c>
      <c r="B86" s="4" t="s">
        <v>5</v>
      </c>
      <c r="C86" s="4" t="s">
        <v>155</v>
      </c>
      <c r="D86" s="4" t="s">
        <v>162</v>
      </c>
      <c r="E86" s="4">
        <v>447.66</v>
      </c>
      <c r="F86" s="4">
        <f>SUMIFS(Entrada!D:D,Entrada!B:B,A86)</f>
        <v>353</v>
      </c>
      <c r="G86" s="4">
        <f>SUMIFS(Saida!D:D,Saida!B:B,A86)</f>
        <v>159</v>
      </c>
      <c r="H86" s="4">
        <f t="shared" si="1"/>
        <v>194</v>
      </c>
      <c r="I86" s="7">
        <f t="shared" si="2"/>
        <v>86846.04</v>
      </c>
    </row>
    <row r="87" ht="15.75" customHeight="1">
      <c r="A87" s="4" t="s">
        <v>93</v>
      </c>
      <c r="B87" s="4" t="s">
        <v>82</v>
      </c>
      <c r="C87" s="4" t="s">
        <v>151</v>
      </c>
      <c r="D87" s="4" t="s">
        <v>156</v>
      </c>
      <c r="E87" s="4">
        <v>670.72</v>
      </c>
      <c r="F87" s="4">
        <f>SUMIFS(Entrada!D:D,Entrada!B:B,A87)</f>
        <v>552</v>
      </c>
      <c r="G87" s="4">
        <f>SUMIFS(Saida!D:D,Saida!B:B,A87)</f>
        <v>316</v>
      </c>
      <c r="H87" s="4">
        <f t="shared" si="1"/>
        <v>236</v>
      </c>
      <c r="I87" s="7">
        <f t="shared" si="2"/>
        <v>158289.92</v>
      </c>
    </row>
    <row r="88" ht="15.75" customHeight="1">
      <c r="A88" s="4" t="s">
        <v>132</v>
      </c>
      <c r="B88" s="4" t="s">
        <v>26</v>
      </c>
      <c r="C88" s="4" t="s">
        <v>157</v>
      </c>
      <c r="D88" s="4" t="s">
        <v>156</v>
      </c>
      <c r="E88" s="4">
        <v>302.34</v>
      </c>
      <c r="F88" s="4">
        <f>SUMIFS(Entrada!D:D,Entrada!B:B,A88)</f>
        <v>439</v>
      </c>
      <c r="G88" s="4">
        <f>SUMIFS(Saida!D:D,Saida!B:B,A88)</f>
        <v>147</v>
      </c>
      <c r="H88" s="4">
        <f t="shared" si="1"/>
        <v>292</v>
      </c>
      <c r="I88" s="7">
        <f t="shared" si="2"/>
        <v>88283.28</v>
      </c>
    </row>
    <row r="89" ht="15.75" customHeight="1">
      <c r="A89" s="4" t="s">
        <v>80</v>
      </c>
      <c r="B89" s="4" t="s">
        <v>22</v>
      </c>
      <c r="C89" s="4" t="s">
        <v>169</v>
      </c>
      <c r="D89" s="4" t="s">
        <v>152</v>
      </c>
      <c r="E89" s="4">
        <v>658.98</v>
      </c>
      <c r="F89" s="4">
        <f>SUMIFS(Entrada!D:D,Entrada!B:B,A89)</f>
        <v>45</v>
      </c>
      <c r="G89" s="4">
        <f>SUMIFS(Saida!D:D,Saida!B:B,A89)</f>
        <v>205</v>
      </c>
      <c r="H89" s="4">
        <f t="shared" si="1"/>
        <v>-160</v>
      </c>
      <c r="I89" s="7">
        <f t="shared" si="2"/>
        <v>-105436.8</v>
      </c>
    </row>
    <row r="90" ht="15.75" customHeight="1">
      <c r="A90" s="4" t="s">
        <v>61</v>
      </c>
      <c r="B90" s="4" t="s">
        <v>62</v>
      </c>
      <c r="C90" s="4" t="s">
        <v>171</v>
      </c>
      <c r="D90" s="4" t="s">
        <v>162</v>
      </c>
      <c r="E90" s="4">
        <v>294.33</v>
      </c>
      <c r="F90" s="4">
        <f>SUMIFS(Entrada!D:D,Entrada!B:B,A90)</f>
        <v>799</v>
      </c>
      <c r="G90" s="4">
        <f>SUMIFS(Saida!D:D,Saida!B:B,A90)</f>
        <v>18</v>
      </c>
      <c r="H90" s="4">
        <f t="shared" si="1"/>
        <v>781</v>
      </c>
      <c r="I90" s="7">
        <f t="shared" si="2"/>
        <v>229871.73</v>
      </c>
    </row>
    <row r="91" ht="15.75" customHeight="1">
      <c r="A91" s="4" t="s">
        <v>141</v>
      </c>
      <c r="B91" s="4" t="s">
        <v>24</v>
      </c>
      <c r="C91" s="4" t="s">
        <v>167</v>
      </c>
      <c r="D91" s="4" t="s">
        <v>156</v>
      </c>
      <c r="E91" s="4">
        <v>499.44</v>
      </c>
      <c r="F91" s="4">
        <f>SUMIFS(Entrada!D:D,Entrada!B:B,A91)</f>
        <v>0</v>
      </c>
      <c r="G91" s="4">
        <f>SUMIFS(Saida!D:D,Saida!B:B,A91)</f>
        <v>277</v>
      </c>
      <c r="H91" s="4">
        <f t="shared" si="1"/>
        <v>-277</v>
      </c>
      <c r="I91" s="7">
        <f t="shared" si="2"/>
        <v>-138344.88</v>
      </c>
    </row>
    <row r="92" ht="15.75" customHeight="1">
      <c r="A92" s="4" t="s">
        <v>18</v>
      </c>
      <c r="B92" s="4" t="s">
        <v>13</v>
      </c>
      <c r="C92" s="4" t="s">
        <v>153</v>
      </c>
      <c r="D92" s="4" t="s">
        <v>156</v>
      </c>
      <c r="E92" s="4">
        <v>787.03</v>
      </c>
      <c r="F92" s="4">
        <f>SUMIFS(Entrada!D:D,Entrada!B:B,A92)</f>
        <v>356</v>
      </c>
      <c r="G92" s="4">
        <f>SUMIFS(Saida!D:D,Saida!B:B,A92)</f>
        <v>169</v>
      </c>
      <c r="H92" s="4">
        <f t="shared" si="1"/>
        <v>187</v>
      </c>
      <c r="I92" s="7">
        <f t="shared" si="2"/>
        <v>147174.61</v>
      </c>
    </row>
    <row r="93" ht="15.75" customHeight="1">
      <c r="A93" s="4" t="s">
        <v>46</v>
      </c>
      <c r="B93" s="4" t="s">
        <v>20</v>
      </c>
      <c r="C93" s="4" t="s">
        <v>157</v>
      </c>
      <c r="D93" s="4" t="s">
        <v>154</v>
      </c>
      <c r="E93" s="4">
        <v>806.69</v>
      </c>
      <c r="F93" s="4">
        <f>SUMIFS(Entrada!D:D,Entrada!B:B,A93)</f>
        <v>355</v>
      </c>
      <c r="G93" s="4">
        <f>SUMIFS(Saida!D:D,Saida!B:B,A93)</f>
        <v>196</v>
      </c>
      <c r="H93" s="4">
        <f t="shared" si="1"/>
        <v>159</v>
      </c>
      <c r="I93" s="7">
        <f t="shared" si="2"/>
        <v>128263.71</v>
      </c>
    </row>
    <row r="94" ht="15.75" customHeight="1">
      <c r="A94" s="4" t="s">
        <v>124</v>
      </c>
      <c r="B94" s="4" t="s">
        <v>26</v>
      </c>
      <c r="C94" s="4" t="s">
        <v>176</v>
      </c>
      <c r="D94" s="4" t="s">
        <v>159</v>
      </c>
      <c r="E94" s="4">
        <v>334.38</v>
      </c>
      <c r="F94" s="4">
        <f>SUMIFS(Entrada!D:D,Entrada!B:B,A94)</f>
        <v>222</v>
      </c>
      <c r="G94" s="4">
        <f>SUMIFS(Saida!D:D,Saida!B:B,A94)</f>
        <v>297</v>
      </c>
      <c r="H94" s="4">
        <f t="shared" si="1"/>
        <v>-75</v>
      </c>
      <c r="I94" s="7">
        <f t="shared" si="2"/>
        <v>-25078.5</v>
      </c>
    </row>
    <row r="95" ht="15.75" customHeight="1">
      <c r="A95" s="4" t="s">
        <v>143</v>
      </c>
      <c r="B95" s="4" t="s">
        <v>16</v>
      </c>
      <c r="C95" s="4" t="s">
        <v>151</v>
      </c>
      <c r="D95" s="4" t="s">
        <v>159</v>
      </c>
      <c r="E95" s="4">
        <v>912.84</v>
      </c>
      <c r="F95" s="4">
        <f>SUMIFS(Entrada!D:D,Entrada!B:B,A95)</f>
        <v>0</v>
      </c>
      <c r="G95" s="4">
        <f>SUMIFS(Saida!D:D,Saida!B:B,A95)</f>
        <v>51</v>
      </c>
      <c r="H95" s="4">
        <f t="shared" si="1"/>
        <v>-51</v>
      </c>
      <c r="I95" s="7">
        <f t="shared" si="2"/>
        <v>-46554.84</v>
      </c>
    </row>
    <row r="96" ht="15.75" customHeight="1">
      <c r="A96" s="4" t="s">
        <v>48</v>
      </c>
      <c r="B96" s="4" t="s">
        <v>22</v>
      </c>
      <c r="C96" s="4" t="s">
        <v>167</v>
      </c>
      <c r="D96" s="4" t="s">
        <v>164</v>
      </c>
      <c r="E96" s="4">
        <v>349.59</v>
      </c>
      <c r="F96" s="4">
        <f>SUMIFS(Entrada!D:D,Entrada!B:B,A96)</f>
        <v>335</v>
      </c>
      <c r="G96" s="4">
        <f>SUMIFS(Saida!D:D,Saida!B:B,A96)</f>
        <v>179</v>
      </c>
      <c r="H96" s="4">
        <f t="shared" si="1"/>
        <v>156</v>
      </c>
      <c r="I96" s="7">
        <f t="shared" si="2"/>
        <v>54536.04</v>
      </c>
    </row>
    <row r="97" ht="15.75" customHeight="1">
      <c r="A97" s="4" t="s">
        <v>44</v>
      </c>
      <c r="B97" s="4" t="s">
        <v>20</v>
      </c>
      <c r="C97" s="4" t="s">
        <v>176</v>
      </c>
      <c r="D97" s="4" t="s">
        <v>164</v>
      </c>
      <c r="E97" s="4">
        <v>959.82</v>
      </c>
      <c r="F97" s="4">
        <f>SUMIFS(Entrada!D:D,Entrada!B:B,A97)</f>
        <v>509</v>
      </c>
      <c r="G97" s="4">
        <f>SUMIFS(Saida!D:D,Saida!B:B,A97)</f>
        <v>54</v>
      </c>
      <c r="H97" s="4">
        <f t="shared" si="1"/>
        <v>455</v>
      </c>
      <c r="I97" s="7">
        <f t="shared" si="2"/>
        <v>436718.1</v>
      </c>
    </row>
    <row r="98" ht="15.75" customHeight="1">
      <c r="A98" s="4" t="s">
        <v>90</v>
      </c>
      <c r="B98" s="4" t="s">
        <v>39</v>
      </c>
      <c r="C98" s="4" t="s">
        <v>177</v>
      </c>
      <c r="D98" s="4" t="s">
        <v>159</v>
      </c>
      <c r="E98" s="4">
        <v>970.1</v>
      </c>
      <c r="F98" s="4">
        <f>SUMIFS(Entrada!D:D,Entrada!B:B,A98)</f>
        <v>376</v>
      </c>
      <c r="G98" s="4">
        <f>SUMIFS(Saida!D:D,Saida!B:B,A98)</f>
        <v>182</v>
      </c>
      <c r="H98" s="4">
        <f t="shared" si="1"/>
        <v>194</v>
      </c>
      <c r="I98" s="7">
        <f t="shared" si="2"/>
        <v>188199.4</v>
      </c>
    </row>
    <row r="99" ht="15.75" customHeight="1">
      <c r="A99" s="4" t="s">
        <v>95</v>
      </c>
      <c r="B99" s="4" t="s">
        <v>39</v>
      </c>
      <c r="C99" s="4" t="s">
        <v>169</v>
      </c>
      <c r="D99" s="4" t="s">
        <v>156</v>
      </c>
      <c r="E99" s="4">
        <v>950.74</v>
      </c>
      <c r="F99" s="4">
        <f>SUMIFS(Entrada!D:D,Entrada!B:B,A99)</f>
        <v>187</v>
      </c>
      <c r="G99" s="4">
        <f>SUMIFS(Saida!D:D,Saida!B:B,A99)</f>
        <v>64</v>
      </c>
      <c r="H99" s="4">
        <f t="shared" si="1"/>
        <v>123</v>
      </c>
      <c r="I99" s="7">
        <f t="shared" si="2"/>
        <v>116941.02</v>
      </c>
    </row>
    <row r="100" ht="15.75" customHeight="1">
      <c r="A100" s="4" t="s">
        <v>114</v>
      </c>
      <c r="B100" s="4" t="s">
        <v>75</v>
      </c>
      <c r="C100" s="4" t="s">
        <v>151</v>
      </c>
      <c r="D100" s="4" t="s">
        <v>156</v>
      </c>
      <c r="E100" s="4">
        <v>405.92</v>
      </c>
      <c r="F100" s="4">
        <f>SUMIFS(Entrada!D:D,Entrada!B:B,A100)</f>
        <v>413</v>
      </c>
      <c r="G100" s="4">
        <f>SUMIFS(Saida!D:D,Saida!B:B,A100)</f>
        <v>132</v>
      </c>
      <c r="H100" s="4">
        <f t="shared" si="1"/>
        <v>281</v>
      </c>
      <c r="I100" s="7">
        <f t="shared" si="2"/>
        <v>114063.52</v>
      </c>
    </row>
    <row r="101" ht="15.75" customHeight="1">
      <c r="A101" s="4" t="s">
        <v>87</v>
      </c>
      <c r="B101" s="4" t="s">
        <v>39</v>
      </c>
      <c r="C101" s="4" t="s">
        <v>173</v>
      </c>
      <c r="D101" s="4" t="s">
        <v>159</v>
      </c>
      <c r="E101" s="4">
        <v>510.54</v>
      </c>
      <c r="F101" s="4">
        <f>SUMIFS(Entrada!D:D,Entrada!B:B,A101)</f>
        <v>686</v>
      </c>
      <c r="G101" s="4">
        <f>SUMIFS(Saida!D:D,Saida!B:B,A101)</f>
        <v>205</v>
      </c>
      <c r="H101" s="4">
        <f t="shared" si="1"/>
        <v>481</v>
      </c>
      <c r="I101" s="7">
        <f t="shared" si="2"/>
        <v>245569.74</v>
      </c>
    </row>
    <row r="102" ht="15.75" customHeight="1">
      <c r="A102" s="4" t="s">
        <v>123</v>
      </c>
      <c r="B102" s="4" t="s">
        <v>79</v>
      </c>
      <c r="C102" s="4" t="s">
        <v>161</v>
      </c>
      <c r="D102" s="4" t="s">
        <v>164</v>
      </c>
      <c r="E102" s="4">
        <v>950.93</v>
      </c>
      <c r="F102" s="4">
        <f>SUMIFS(Entrada!D:D,Entrada!B:B,A102)</f>
        <v>190</v>
      </c>
      <c r="G102" s="4">
        <f>SUMIFS(Saida!D:D,Saida!B:B,A102)</f>
        <v>213</v>
      </c>
      <c r="H102" s="4">
        <f t="shared" si="1"/>
        <v>-23</v>
      </c>
      <c r="I102" s="7">
        <f t="shared" si="2"/>
        <v>-21871.39</v>
      </c>
    </row>
    <row r="103" ht="15.75" customHeight="1">
      <c r="A103" s="4" t="s">
        <v>105</v>
      </c>
      <c r="B103" s="4" t="s">
        <v>79</v>
      </c>
      <c r="C103" s="4" t="s">
        <v>166</v>
      </c>
      <c r="D103" s="4" t="s">
        <v>162</v>
      </c>
      <c r="E103" s="4">
        <v>676.7</v>
      </c>
      <c r="F103" s="4">
        <f>SUMIFS(Entrada!D:D,Entrada!B:B,A103)</f>
        <v>570</v>
      </c>
      <c r="G103" s="4">
        <f>SUMIFS(Saida!D:D,Saida!B:B,A103)</f>
        <v>152</v>
      </c>
      <c r="H103" s="4">
        <f t="shared" si="1"/>
        <v>418</v>
      </c>
      <c r="I103" s="7">
        <f t="shared" si="2"/>
        <v>282860.6</v>
      </c>
    </row>
    <row r="104" ht="15.75" customHeight="1">
      <c r="A104" s="4" t="s">
        <v>69</v>
      </c>
      <c r="B104" s="4" t="s">
        <v>24</v>
      </c>
      <c r="C104" s="4" t="s">
        <v>176</v>
      </c>
      <c r="D104" s="4" t="s">
        <v>170</v>
      </c>
      <c r="E104" s="4">
        <v>383.27</v>
      </c>
      <c r="F104" s="4">
        <f>SUMIFS(Entrada!D:D,Entrada!B:B,A104)</f>
        <v>413</v>
      </c>
      <c r="G104" s="4">
        <f>SUMIFS(Saida!D:D,Saida!B:B,A104)</f>
        <v>274</v>
      </c>
      <c r="H104" s="4">
        <f t="shared" si="1"/>
        <v>139</v>
      </c>
      <c r="I104" s="7">
        <f t="shared" si="2"/>
        <v>53274.53</v>
      </c>
    </row>
    <row r="105" ht="15.75" customHeight="1">
      <c r="A105" s="4" t="s">
        <v>56</v>
      </c>
      <c r="B105" s="4" t="s">
        <v>5</v>
      </c>
      <c r="C105" s="4" t="s">
        <v>173</v>
      </c>
      <c r="D105" s="4" t="s">
        <v>159</v>
      </c>
      <c r="E105" s="4">
        <v>597.81</v>
      </c>
      <c r="F105" s="4">
        <f>SUMIFS(Entrada!D:D,Entrada!B:B,A105)</f>
        <v>168</v>
      </c>
      <c r="G105" s="4">
        <f>SUMIFS(Saida!D:D,Saida!B:B,A105)</f>
        <v>239</v>
      </c>
      <c r="H105" s="4">
        <f t="shared" si="1"/>
        <v>-71</v>
      </c>
      <c r="I105" s="7">
        <f t="shared" si="2"/>
        <v>-42444.51</v>
      </c>
    </row>
    <row r="106" ht="15.75" customHeight="1">
      <c r="A106" s="4" t="s">
        <v>100</v>
      </c>
      <c r="B106" s="4" t="s">
        <v>79</v>
      </c>
      <c r="C106" s="4" t="s">
        <v>157</v>
      </c>
      <c r="D106" s="4" t="s">
        <v>170</v>
      </c>
      <c r="E106" s="4">
        <v>549.75</v>
      </c>
      <c r="F106" s="4">
        <f>SUMIFS(Entrada!D:D,Entrada!B:B,A106)</f>
        <v>223</v>
      </c>
      <c r="G106" s="4">
        <f>SUMIFS(Saida!D:D,Saida!B:B,A106)</f>
        <v>0</v>
      </c>
      <c r="H106" s="4">
        <f t="shared" si="1"/>
        <v>223</v>
      </c>
      <c r="I106" s="7">
        <f t="shared" si="2"/>
        <v>122594.25</v>
      </c>
    </row>
    <row r="107" ht="15.75" customHeight="1">
      <c r="A107" s="4" t="s">
        <v>115</v>
      </c>
      <c r="B107" s="4" t="s">
        <v>50</v>
      </c>
      <c r="C107" s="4" t="s">
        <v>158</v>
      </c>
      <c r="D107" s="4" t="s">
        <v>154</v>
      </c>
      <c r="E107" s="4">
        <v>576.48</v>
      </c>
      <c r="F107" s="4">
        <f>SUMIFS(Entrada!D:D,Entrada!B:B,A107)</f>
        <v>322</v>
      </c>
      <c r="G107" s="4">
        <f>SUMIFS(Saida!D:D,Saida!B:B,A107)</f>
        <v>158</v>
      </c>
      <c r="H107" s="4">
        <f t="shared" si="1"/>
        <v>164</v>
      </c>
      <c r="I107" s="7">
        <f t="shared" si="2"/>
        <v>94542.72</v>
      </c>
    </row>
    <row r="108" ht="15.75" customHeight="1">
      <c r="A108" s="4" t="s">
        <v>122</v>
      </c>
      <c r="B108" s="4" t="s">
        <v>26</v>
      </c>
      <c r="C108" s="4" t="s">
        <v>153</v>
      </c>
      <c r="D108" s="4" t="s">
        <v>162</v>
      </c>
      <c r="E108" s="4">
        <v>931.11</v>
      </c>
      <c r="F108" s="4">
        <f>SUMIFS(Entrada!D:D,Entrada!B:B,A108)</f>
        <v>323</v>
      </c>
      <c r="G108" s="4">
        <f>SUMIFS(Saida!D:D,Saida!B:B,A108)</f>
        <v>104</v>
      </c>
      <c r="H108" s="4">
        <f t="shared" si="1"/>
        <v>219</v>
      </c>
      <c r="I108" s="7">
        <f t="shared" si="2"/>
        <v>203913.09</v>
      </c>
    </row>
    <row r="109" ht="15.75" customHeight="1">
      <c r="A109" s="4" t="s">
        <v>27</v>
      </c>
      <c r="B109" s="4" t="s">
        <v>28</v>
      </c>
      <c r="C109" s="4" t="s">
        <v>158</v>
      </c>
      <c r="D109" s="4" t="s">
        <v>170</v>
      </c>
      <c r="E109" s="4">
        <v>967.84</v>
      </c>
      <c r="F109" s="4">
        <f>SUMIFS(Entrada!D:D,Entrada!B:B,A109)</f>
        <v>117</v>
      </c>
      <c r="G109" s="4">
        <f>SUMIFS(Saida!D:D,Saida!B:B,A109)</f>
        <v>0</v>
      </c>
      <c r="H109" s="4">
        <f t="shared" si="1"/>
        <v>117</v>
      </c>
      <c r="I109" s="7">
        <f t="shared" si="2"/>
        <v>113237.28</v>
      </c>
    </row>
    <row r="110" ht="15.75" customHeight="1">
      <c r="A110" s="4" t="s">
        <v>134</v>
      </c>
      <c r="B110" s="4" t="s">
        <v>85</v>
      </c>
      <c r="C110" s="4" t="s">
        <v>175</v>
      </c>
      <c r="D110" s="4" t="s">
        <v>162</v>
      </c>
      <c r="E110" s="4">
        <v>682.72</v>
      </c>
      <c r="F110" s="4">
        <f>SUMIFS(Entrada!D:D,Entrada!B:B,A110)</f>
        <v>244</v>
      </c>
      <c r="G110" s="4">
        <f>SUMIFS(Saida!D:D,Saida!B:B,A110)</f>
        <v>94</v>
      </c>
      <c r="H110" s="4">
        <f t="shared" si="1"/>
        <v>150</v>
      </c>
      <c r="I110" s="7">
        <f t="shared" si="2"/>
        <v>102408</v>
      </c>
    </row>
    <row r="111" ht="15.75" customHeight="1">
      <c r="A111" s="4" t="s">
        <v>86</v>
      </c>
      <c r="B111" s="4" t="s">
        <v>26</v>
      </c>
      <c r="C111" s="4" t="s">
        <v>173</v>
      </c>
      <c r="D111" s="4" t="s">
        <v>162</v>
      </c>
      <c r="E111" s="4">
        <v>418.89</v>
      </c>
      <c r="F111" s="4">
        <f>SUMIFS(Entrada!D:D,Entrada!B:B,A111)</f>
        <v>196</v>
      </c>
      <c r="G111" s="4">
        <f>SUMIFS(Saida!D:D,Saida!B:B,A111)</f>
        <v>132</v>
      </c>
      <c r="H111" s="4">
        <f t="shared" si="1"/>
        <v>64</v>
      </c>
      <c r="I111" s="7">
        <f t="shared" si="2"/>
        <v>26808.96</v>
      </c>
    </row>
    <row r="112" ht="15.75" customHeight="1">
      <c r="A112" s="4" t="s">
        <v>102</v>
      </c>
      <c r="B112" s="4" t="s">
        <v>41</v>
      </c>
      <c r="C112" s="4" t="s">
        <v>161</v>
      </c>
      <c r="D112" s="4" t="s">
        <v>164</v>
      </c>
      <c r="E112" s="4">
        <v>927.57</v>
      </c>
      <c r="F112" s="4">
        <f>SUMIFS(Entrada!D:D,Entrada!B:B,A112)</f>
        <v>203</v>
      </c>
      <c r="G112" s="4">
        <f>SUMIFS(Saida!D:D,Saida!B:B,A112)</f>
        <v>118</v>
      </c>
      <c r="H112" s="4">
        <f t="shared" si="1"/>
        <v>85</v>
      </c>
      <c r="I112" s="7">
        <f t="shared" si="2"/>
        <v>78843.45</v>
      </c>
    </row>
    <row r="113" ht="15.75" customHeight="1">
      <c r="A113" s="4" t="s">
        <v>84</v>
      </c>
      <c r="B113" s="4" t="s">
        <v>85</v>
      </c>
      <c r="C113" s="4" t="s">
        <v>176</v>
      </c>
      <c r="D113" s="4" t="s">
        <v>159</v>
      </c>
      <c r="E113" s="4">
        <v>898.39</v>
      </c>
      <c r="F113" s="4">
        <f>SUMIFS(Entrada!D:D,Entrada!B:B,A113)</f>
        <v>180</v>
      </c>
      <c r="G113" s="4">
        <f>SUMIFS(Saida!D:D,Saida!B:B,A113)</f>
        <v>3</v>
      </c>
      <c r="H113" s="4">
        <f t="shared" si="1"/>
        <v>177</v>
      </c>
      <c r="I113" s="7">
        <f t="shared" si="2"/>
        <v>159015.03</v>
      </c>
    </row>
    <row r="114" ht="15.75" customHeight="1">
      <c r="A114" s="4" t="s">
        <v>92</v>
      </c>
      <c r="B114" s="4" t="s">
        <v>82</v>
      </c>
      <c r="C114" s="4" t="s">
        <v>176</v>
      </c>
      <c r="D114" s="4" t="s">
        <v>156</v>
      </c>
      <c r="E114" s="4">
        <v>333.64</v>
      </c>
      <c r="F114" s="4">
        <f>SUMIFS(Entrada!D:D,Entrada!B:B,A114)</f>
        <v>337</v>
      </c>
      <c r="G114" s="4">
        <f>SUMIFS(Saida!D:D,Saida!B:B,A114)</f>
        <v>150</v>
      </c>
      <c r="H114" s="4">
        <f t="shared" si="1"/>
        <v>187</v>
      </c>
      <c r="I114" s="7">
        <f t="shared" si="2"/>
        <v>62390.68</v>
      </c>
    </row>
    <row r="115" ht="15.75" customHeight="1">
      <c r="A115" s="4" t="s">
        <v>108</v>
      </c>
      <c r="B115" s="4" t="s">
        <v>109</v>
      </c>
      <c r="C115" s="4" t="s">
        <v>163</v>
      </c>
      <c r="D115" s="4" t="s">
        <v>170</v>
      </c>
      <c r="E115" s="4">
        <v>285.57</v>
      </c>
      <c r="F115" s="4">
        <f>SUMIFS(Entrada!D:D,Entrada!B:B,A115)</f>
        <v>304</v>
      </c>
      <c r="G115" s="4">
        <f>SUMIFS(Saida!D:D,Saida!B:B,A115)</f>
        <v>283</v>
      </c>
      <c r="H115" s="4">
        <f t="shared" si="1"/>
        <v>21</v>
      </c>
      <c r="I115" s="7">
        <f t="shared" si="2"/>
        <v>5996.97</v>
      </c>
    </row>
    <row r="116" ht="15.75" customHeight="1">
      <c r="A116" s="4" t="s">
        <v>113</v>
      </c>
      <c r="B116" s="4" t="s">
        <v>85</v>
      </c>
      <c r="C116" s="4" t="s">
        <v>173</v>
      </c>
      <c r="D116" s="4" t="s">
        <v>170</v>
      </c>
      <c r="E116" s="4">
        <v>143.22</v>
      </c>
      <c r="F116" s="4">
        <f>SUMIFS(Entrada!D:D,Entrada!B:B,A116)</f>
        <v>436</v>
      </c>
      <c r="G116" s="4">
        <f>SUMIFS(Saida!D:D,Saida!B:B,A116)</f>
        <v>197</v>
      </c>
      <c r="H116" s="4">
        <f t="shared" si="1"/>
        <v>239</v>
      </c>
      <c r="I116" s="7">
        <f t="shared" si="2"/>
        <v>34229.58</v>
      </c>
    </row>
    <row r="117" ht="15.75" customHeight="1">
      <c r="A117" s="4" t="s">
        <v>66</v>
      </c>
      <c r="B117" s="4" t="s">
        <v>52</v>
      </c>
      <c r="C117" s="4" t="s">
        <v>175</v>
      </c>
      <c r="D117" s="4" t="s">
        <v>162</v>
      </c>
      <c r="E117" s="4">
        <v>914.49</v>
      </c>
      <c r="F117" s="4">
        <f>SUMIFS(Entrada!D:D,Entrada!B:B,A117)</f>
        <v>550</v>
      </c>
      <c r="G117" s="4">
        <f>SUMIFS(Saida!D:D,Saida!B:B,A117)</f>
        <v>391</v>
      </c>
      <c r="H117" s="4">
        <f t="shared" si="1"/>
        <v>159</v>
      </c>
      <c r="I117" s="7">
        <f t="shared" si="2"/>
        <v>145403.91</v>
      </c>
    </row>
    <row r="118" ht="15.75" customHeight="1">
      <c r="A118" s="4" t="s">
        <v>19</v>
      </c>
      <c r="B118" s="4" t="s">
        <v>20</v>
      </c>
      <c r="C118" s="4" t="s">
        <v>158</v>
      </c>
      <c r="D118" s="4" t="s">
        <v>159</v>
      </c>
      <c r="E118" s="4">
        <v>546.58</v>
      </c>
      <c r="F118" s="4">
        <f>SUMIFS(Entrada!D:D,Entrada!B:B,A118)</f>
        <v>237</v>
      </c>
      <c r="G118" s="4">
        <f>SUMIFS(Saida!D:D,Saida!B:B,A118)</f>
        <v>462</v>
      </c>
      <c r="H118" s="4">
        <f t="shared" si="1"/>
        <v>-225</v>
      </c>
      <c r="I118" s="7">
        <f t="shared" si="2"/>
        <v>-122980.5</v>
      </c>
    </row>
    <row r="119" ht="15.75" customHeight="1">
      <c r="A119" s="4" t="s">
        <v>131</v>
      </c>
      <c r="B119" s="4" t="s">
        <v>26</v>
      </c>
      <c r="C119" s="4" t="s">
        <v>177</v>
      </c>
      <c r="D119" s="4" t="s">
        <v>154</v>
      </c>
      <c r="E119" s="4">
        <v>551.52</v>
      </c>
      <c r="F119" s="4">
        <f>SUMIFS(Entrada!D:D,Entrada!B:B,A119)</f>
        <v>313</v>
      </c>
      <c r="G119" s="4">
        <f>SUMIFS(Saida!D:D,Saida!B:B,A119)</f>
        <v>23</v>
      </c>
      <c r="H119" s="4">
        <f t="shared" si="1"/>
        <v>290</v>
      </c>
      <c r="I119" s="7">
        <f t="shared" si="2"/>
        <v>159940.8</v>
      </c>
    </row>
    <row r="120" ht="15.75" customHeight="1">
      <c r="A120" s="4" t="s">
        <v>137</v>
      </c>
      <c r="B120" s="4" t="s">
        <v>20</v>
      </c>
      <c r="C120" s="4" t="s">
        <v>160</v>
      </c>
      <c r="D120" s="4" t="s">
        <v>152</v>
      </c>
      <c r="E120" s="4">
        <v>793.28</v>
      </c>
      <c r="F120" s="4">
        <f>SUMIFS(Entrada!D:D,Entrada!B:B,A120)</f>
        <v>418</v>
      </c>
      <c r="G120" s="4">
        <f>SUMIFS(Saida!D:D,Saida!B:B,A120)</f>
        <v>186</v>
      </c>
      <c r="H120" s="4">
        <f t="shared" si="1"/>
        <v>232</v>
      </c>
      <c r="I120" s="7">
        <f t="shared" si="2"/>
        <v>184040.96</v>
      </c>
    </row>
    <row r="121" ht="15.75" customHeight="1">
      <c r="A121" s="4" t="s">
        <v>91</v>
      </c>
      <c r="B121" s="4" t="s">
        <v>26</v>
      </c>
      <c r="C121" s="4" t="s">
        <v>160</v>
      </c>
      <c r="D121" s="4" t="s">
        <v>164</v>
      </c>
      <c r="E121" s="4">
        <v>479.4</v>
      </c>
      <c r="F121" s="4">
        <f>SUMIFS(Entrada!D:D,Entrada!B:B,A121)</f>
        <v>414</v>
      </c>
      <c r="G121" s="4">
        <f>SUMIFS(Saida!D:D,Saida!B:B,A121)</f>
        <v>66</v>
      </c>
      <c r="H121" s="4">
        <f t="shared" si="1"/>
        <v>348</v>
      </c>
      <c r="I121" s="7">
        <f t="shared" si="2"/>
        <v>166831.2</v>
      </c>
    </row>
    <row r="122" ht="15.75" customHeight="1">
      <c r="I122" s="8"/>
    </row>
    <row r="123" ht="15.75" customHeight="1">
      <c r="I123" s="8"/>
    </row>
    <row r="124" ht="15.75" customHeight="1">
      <c r="I124" s="8"/>
    </row>
    <row r="125" ht="15.75" customHeight="1">
      <c r="I125" s="8"/>
    </row>
    <row r="126" ht="15.75" customHeight="1">
      <c r="I126" s="8"/>
    </row>
    <row r="127" ht="15.75" customHeight="1">
      <c r="I127" s="8"/>
    </row>
    <row r="128" ht="15.75" customHeight="1">
      <c r="I128" s="8"/>
    </row>
    <row r="129" ht="15.75" customHeight="1">
      <c r="I129" s="8"/>
    </row>
    <row r="130" ht="15.75" customHeight="1">
      <c r="I130" s="8"/>
    </row>
    <row r="131" ht="15.75" customHeight="1">
      <c r="I131" s="8"/>
    </row>
    <row r="132" ht="15.75" customHeight="1">
      <c r="I132" s="8"/>
    </row>
    <row r="133" ht="15.75" customHeight="1">
      <c r="I133" s="8"/>
    </row>
    <row r="134" ht="15.75" customHeight="1">
      <c r="I134" s="8"/>
    </row>
    <row r="135" ht="15.75" customHeight="1">
      <c r="I135" s="8"/>
    </row>
    <row r="136" ht="15.75" customHeight="1">
      <c r="I136" s="8"/>
    </row>
    <row r="137" ht="15.75" customHeight="1">
      <c r="I137" s="8"/>
    </row>
    <row r="138" ht="15.75" customHeight="1">
      <c r="I138" s="8"/>
    </row>
    <row r="139" ht="15.75" customHeight="1">
      <c r="I139" s="8"/>
    </row>
    <row r="140" ht="15.75" customHeight="1">
      <c r="I140" s="8"/>
    </row>
    <row r="141" ht="15.75" customHeight="1">
      <c r="I141" s="8"/>
    </row>
    <row r="142" ht="15.75" customHeight="1">
      <c r="I142" s="8"/>
    </row>
    <row r="143" ht="15.75" customHeight="1">
      <c r="I143" s="8"/>
    </row>
    <row r="144" ht="15.75" customHeight="1">
      <c r="I144" s="8"/>
    </row>
    <row r="145" ht="15.75" customHeight="1">
      <c r="I145" s="8"/>
    </row>
    <row r="146" ht="15.75" customHeight="1">
      <c r="I146" s="8"/>
    </row>
    <row r="147" ht="15.75" customHeight="1">
      <c r="I147" s="8"/>
    </row>
    <row r="148" ht="15.75" customHeight="1">
      <c r="I148" s="8"/>
    </row>
    <row r="149" ht="15.75" customHeight="1">
      <c r="I149" s="8"/>
    </row>
    <row r="150" ht="15.75" customHeight="1">
      <c r="I150" s="8"/>
    </row>
    <row r="151" ht="15.75" customHeight="1">
      <c r="I151" s="8"/>
    </row>
    <row r="152" ht="15.75" customHeight="1">
      <c r="I152" s="8"/>
    </row>
    <row r="153" ht="15.75" customHeight="1">
      <c r="I153" s="8"/>
    </row>
    <row r="154" ht="15.75" customHeight="1">
      <c r="I154" s="8"/>
    </row>
    <row r="155" ht="15.75" customHeight="1">
      <c r="I155" s="8"/>
    </row>
    <row r="156" ht="15.75" customHeight="1">
      <c r="I156" s="8"/>
    </row>
    <row r="157" ht="15.75" customHeight="1">
      <c r="I157" s="8"/>
    </row>
    <row r="158" ht="15.75" customHeight="1">
      <c r="I158" s="8"/>
    </row>
    <row r="159" ht="15.75" customHeight="1">
      <c r="I159" s="8"/>
    </row>
    <row r="160" ht="15.75" customHeight="1">
      <c r="I160" s="8"/>
    </row>
    <row r="161" ht="15.75" customHeight="1">
      <c r="I161" s="8"/>
    </row>
    <row r="162" ht="15.75" customHeight="1">
      <c r="I162" s="8"/>
    </row>
    <row r="163" ht="15.75" customHeight="1">
      <c r="I163" s="8"/>
    </row>
    <row r="164" ht="15.75" customHeight="1">
      <c r="I164" s="8"/>
    </row>
    <row r="165" ht="15.75" customHeight="1">
      <c r="I165" s="8"/>
    </row>
    <row r="166" ht="15.75" customHeight="1">
      <c r="I166" s="8"/>
    </row>
    <row r="167" ht="15.75" customHeight="1">
      <c r="I167" s="8"/>
    </row>
    <row r="168" ht="15.75" customHeight="1">
      <c r="I168" s="8"/>
    </row>
    <row r="169" ht="15.75" customHeight="1">
      <c r="I169" s="8"/>
    </row>
    <row r="170" ht="15.75" customHeight="1">
      <c r="I170" s="8"/>
    </row>
    <row r="171" ht="15.75" customHeight="1">
      <c r="I171" s="8"/>
    </row>
    <row r="172" ht="15.75" customHeight="1">
      <c r="I172" s="8"/>
    </row>
    <row r="173" ht="15.75" customHeight="1">
      <c r="I173" s="8"/>
    </row>
    <row r="174" ht="15.75" customHeight="1">
      <c r="I174" s="8"/>
    </row>
    <row r="175" ht="15.75" customHeight="1">
      <c r="I175" s="8"/>
    </row>
    <row r="176" ht="15.75" customHeight="1">
      <c r="I176" s="8"/>
    </row>
    <row r="177" ht="15.75" customHeight="1">
      <c r="I177" s="8"/>
    </row>
    <row r="178" ht="15.75" customHeight="1">
      <c r="I178" s="8"/>
    </row>
    <row r="179" ht="15.75" customHeight="1">
      <c r="I179" s="8"/>
    </row>
    <row r="180" ht="15.75" customHeight="1">
      <c r="I180" s="8"/>
    </row>
    <row r="181" ht="15.75" customHeight="1">
      <c r="I181" s="8"/>
    </row>
    <row r="182" ht="15.75" customHeight="1">
      <c r="I182" s="8"/>
    </row>
    <row r="183" ht="15.75" customHeight="1">
      <c r="I183" s="8"/>
    </row>
    <row r="184" ht="15.75" customHeight="1">
      <c r="I184" s="8"/>
    </row>
    <row r="185" ht="15.75" customHeight="1">
      <c r="I185" s="8"/>
    </row>
    <row r="186" ht="15.75" customHeight="1">
      <c r="I186" s="8"/>
    </row>
    <row r="187" ht="15.75" customHeight="1">
      <c r="I187" s="8"/>
    </row>
    <row r="188" ht="15.75" customHeight="1">
      <c r="I188" s="8"/>
    </row>
    <row r="189" ht="15.75" customHeight="1">
      <c r="I189" s="8"/>
    </row>
    <row r="190" ht="15.75" customHeight="1">
      <c r="I190" s="8"/>
    </row>
    <row r="191" ht="15.75" customHeight="1">
      <c r="I191" s="8"/>
    </row>
    <row r="192" ht="15.75" customHeight="1">
      <c r="I192" s="8"/>
    </row>
    <row r="193" ht="15.75" customHeight="1">
      <c r="I193" s="8"/>
    </row>
    <row r="194" ht="15.75" customHeight="1">
      <c r="I194" s="8"/>
    </row>
    <row r="195" ht="15.75" customHeight="1">
      <c r="I195" s="8"/>
    </row>
    <row r="196" ht="15.75" customHeight="1">
      <c r="I196" s="8"/>
    </row>
    <row r="197" ht="15.75" customHeight="1">
      <c r="I197" s="8"/>
    </row>
    <row r="198" ht="15.75" customHeight="1">
      <c r="I198" s="8"/>
    </row>
    <row r="199" ht="15.75" customHeight="1">
      <c r="I199" s="8"/>
    </row>
    <row r="200" ht="15.75" customHeight="1">
      <c r="I200" s="8"/>
    </row>
    <row r="201" ht="15.75" customHeight="1">
      <c r="I201" s="8"/>
    </row>
    <row r="202" ht="15.75" customHeight="1">
      <c r="I202" s="8"/>
    </row>
    <row r="203" ht="15.75" customHeight="1">
      <c r="I203" s="8"/>
    </row>
    <row r="204" ht="15.75" customHeight="1">
      <c r="I204" s="8"/>
    </row>
    <row r="205" ht="15.75" customHeight="1">
      <c r="I205" s="8"/>
    </row>
    <row r="206" ht="15.75" customHeight="1">
      <c r="I206" s="8"/>
    </row>
    <row r="207" ht="15.75" customHeight="1">
      <c r="I207" s="8"/>
    </row>
    <row r="208" ht="15.75" customHeight="1">
      <c r="I208" s="8"/>
    </row>
    <row r="209" ht="15.75" customHeight="1">
      <c r="I209" s="8"/>
    </row>
    <row r="210" ht="15.75" customHeight="1">
      <c r="I210" s="8"/>
    </row>
    <row r="211" ht="15.75" customHeight="1">
      <c r="I211" s="8"/>
    </row>
    <row r="212" ht="15.75" customHeight="1">
      <c r="I212" s="8"/>
    </row>
    <row r="213" ht="15.75" customHeight="1">
      <c r="I213" s="8"/>
    </row>
    <row r="214" ht="15.75" customHeight="1">
      <c r="I214" s="8"/>
    </row>
    <row r="215" ht="15.75" customHeight="1">
      <c r="I215" s="8"/>
    </row>
    <row r="216" ht="15.75" customHeight="1">
      <c r="I216" s="8"/>
    </row>
    <row r="217" ht="15.75" customHeight="1">
      <c r="I217" s="8"/>
    </row>
    <row r="218" ht="15.75" customHeight="1">
      <c r="I218" s="8"/>
    </row>
    <row r="219" ht="15.75" customHeight="1">
      <c r="I219" s="8"/>
    </row>
    <row r="220" ht="15.75" customHeight="1">
      <c r="I220" s="8"/>
    </row>
    <row r="221" ht="15.75" customHeight="1">
      <c r="I221" s="8"/>
    </row>
    <row r="222" ht="15.75" customHeight="1">
      <c r="I222" s="8"/>
    </row>
    <row r="223" ht="15.75" customHeight="1">
      <c r="I223" s="8"/>
    </row>
    <row r="224" ht="15.75" customHeight="1">
      <c r="I224" s="8"/>
    </row>
    <row r="225" ht="15.75" customHeight="1">
      <c r="I225" s="8"/>
    </row>
    <row r="226" ht="15.75" customHeight="1">
      <c r="I226" s="8"/>
    </row>
    <row r="227" ht="15.75" customHeight="1">
      <c r="I227" s="8"/>
    </row>
    <row r="228" ht="15.75" customHeight="1">
      <c r="I228" s="8"/>
    </row>
    <row r="229" ht="15.75" customHeight="1">
      <c r="I229" s="8"/>
    </row>
    <row r="230" ht="15.75" customHeight="1">
      <c r="I230" s="8"/>
    </row>
    <row r="231" ht="15.75" customHeight="1">
      <c r="I231" s="8"/>
    </row>
    <row r="232" ht="15.75" customHeight="1">
      <c r="I232" s="8"/>
    </row>
    <row r="233" ht="15.75" customHeight="1">
      <c r="I233" s="8"/>
    </row>
    <row r="234" ht="15.75" customHeight="1">
      <c r="I234" s="8"/>
    </row>
    <row r="235" ht="15.75" customHeight="1">
      <c r="I235" s="8"/>
    </row>
    <row r="236" ht="15.75" customHeight="1">
      <c r="I236" s="8"/>
    </row>
    <row r="237" ht="15.75" customHeight="1">
      <c r="I237" s="8"/>
    </row>
    <row r="238" ht="15.75" customHeight="1">
      <c r="I238" s="8"/>
    </row>
    <row r="239" ht="15.75" customHeight="1">
      <c r="I239" s="8"/>
    </row>
    <row r="240" ht="15.75" customHeight="1">
      <c r="I240" s="8"/>
    </row>
    <row r="241" ht="15.75" customHeight="1">
      <c r="I241" s="8"/>
    </row>
    <row r="242" ht="15.75" customHeight="1">
      <c r="I242" s="8"/>
    </row>
    <row r="243" ht="15.75" customHeight="1">
      <c r="I243" s="8"/>
    </row>
    <row r="244" ht="15.75" customHeight="1">
      <c r="I244" s="8"/>
    </row>
    <row r="245" ht="15.75" customHeight="1">
      <c r="I245" s="8"/>
    </row>
    <row r="246" ht="15.75" customHeight="1">
      <c r="I246" s="8"/>
    </row>
    <row r="247" ht="15.75" customHeight="1">
      <c r="I247" s="8"/>
    </row>
    <row r="248" ht="15.75" customHeight="1">
      <c r="I248" s="8"/>
    </row>
    <row r="249" ht="15.75" customHeight="1">
      <c r="I249" s="8"/>
    </row>
    <row r="250" ht="15.75" customHeight="1">
      <c r="I250" s="8"/>
    </row>
    <row r="251" ht="15.75" customHeight="1">
      <c r="I251" s="8"/>
    </row>
    <row r="252" ht="15.75" customHeight="1">
      <c r="I252" s="8"/>
    </row>
    <row r="253" ht="15.75" customHeight="1">
      <c r="I253" s="8"/>
    </row>
    <row r="254" ht="15.75" customHeight="1">
      <c r="I254" s="8"/>
    </row>
    <row r="255" ht="15.75" customHeight="1">
      <c r="I255" s="8"/>
    </row>
    <row r="256" ht="15.75" customHeight="1">
      <c r="I256" s="8"/>
    </row>
    <row r="257" ht="15.75" customHeight="1">
      <c r="I257" s="8"/>
    </row>
    <row r="258" ht="15.75" customHeight="1">
      <c r="I258" s="8"/>
    </row>
    <row r="259" ht="15.75" customHeight="1">
      <c r="I259" s="8"/>
    </row>
    <row r="260" ht="15.75" customHeight="1">
      <c r="I260" s="8"/>
    </row>
    <row r="261" ht="15.75" customHeight="1">
      <c r="I261" s="8"/>
    </row>
    <row r="262" ht="15.75" customHeight="1">
      <c r="I262" s="8"/>
    </row>
    <row r="263" ht="15.75" customHeight="1">
      <c r="I263" s="8"/>
    </row>
    <row r="264" ht="15.75" customHeight="1">
      <c r="I264" s="8"/>
    </row>
    <row r="265" ht="15.75" customHeight="1">
      <c r="I265" s="8"/>
    </row>
    <row r="266" ht="15.75" customHeight="1">
      <c r="I266" s="8"/>
    </row>
    <row r="267" ht="15.75" customHeight="1">
      <c r="I267" s="8"/>
    </row>
    <row r="268" ht="15.75" customHeight="1">
      <c r="I268" s="8"/>
    </row>
    <row r="269" ht="15.75" customHeight="1">
      <c r="I269" s="8"/>
    </row>
    <row r="270" ht="15.75" customHeight="1">
      <c r="I270" s="8"/>
    </row>
    <row r="271" ht="15.75" customHeight="1">
      <c r="I271" s="8"/>
    </row>
    <row r="272" ht="15.75" customHeight="1">
      <c r="I272" s="8"/>
    </row>
    <row r="273" ht="15.75" customHeight="1">
      <c r="I273" s="8"/>
    </row>
    <row r="274" ht="15.75" customHeight="1">
      <c r="I274" s="8"/>
    </row>
    <row r="275" ht="15.75" customHeight="1">
      <c r="I275" s="8"/>
    </row>
    <row r="276" ht="15.75" customHeight="1">
      <c r="I276" s="8"/>
    </row>
    <row r="277" ht="15.75" customHeight="1">
      <c r="I277" s="8"/>
    </row>
    <row r="278" ht="15.75" customHeight="1">
      <c r="I278" s="8"/>
    </row>
    <row r="279" ht="15.75" customHeight="1">
      <c r="I279" s="8"/>
    </row>
    <row r="280" ht="15.75" customHeight="1">
      <c r="I280" s="8"/>
    </row>
    <row r="281" ht="15.75" customHeight="1">
      <c r="I281" s="8"/>
    </row>
    <row r="282" ht="15.75" customHeight="1">
      <c r="I282" s="8"/>
    </row>
    <row r="283" ht="15.75" customHeight="1">
      <c r="I283" s="8"/>
    </row>
    <row r="284" ht="15.75" customHeight="1">
      <c r="I284" s="8"/>
    </row>
    <row r="285" ht="15.75" customHeight="1">
      <c r="I285" s="8"/>
    </row>
    <row r="286" ht="15.75" customHeight="1">
      <c r="I286" s="8"/>
    </row>
    <row r="287" ht="15.75" customHeight="1">
      <c r="I287" s="8"/>
    </row>
    <row r="288" ht="15.75" customHeight="1">
      <c r="I288" s="8"/>
    </row>
    <row r="289" ht="15.75" customHeight="1">
      <c r="I289" s="8"/>
    </row>
    <row r="290" ht="15.75" customHeight="1">
      <c r="I290" s="8"/>
    </row>
    <row r="291" ht="15.75" customHeight="1">
      <c r="I291" s="8"/>
    </row>
    <row r="292" ht="15.75" customHeight="1">
      <c r="I292" s="8"/>
    </row>
    <row r="293" ht="15.75" customHeight="1">
      <c r="I293" s="8"/>
    </row>
    <row r="294" ht="15.75" customHeight="1">
      <c r="I294" s="8"/>
    </row>
    <row r="295" ht="15.75" customHeight="1">
      <c r="I295" s="8"/>
    </row>
    <row r="296" ht="15.75" customHeight="1">
      <c r="I296" s="8"/>
    </row>
    <row r="297" ht="15.75" customHeight="1">
      <c r="I297" s="8"/>
    </row>
    <row r="298" ht="15.75" customHeight="1">
      <c r="I298" s="8"/>
    </row>
    <row r="299" ht="15.75" customHeight="1">
      <c r="I299" s="8"/>
    </row>
    <row r="300" ht="15.75" customHeight="1">
      <c r="I300" s="8"/>
    </row>
    <row r="301" ht="15.75" customHeight="1">
      <c r="I301" s="8"/>
    </row>
    <row r="302" ht="15.75" customHeight="1">
      <c r="I302" s="8"/>
    </row>
    <row r="303" ht="15.75" customHeight="1">
      <c r="I303" s="8"/>
    </row>
    <row r="304" ht="15.75" customHeight="1">
      <c r="I304" s="8"/>
    </row>
    <row r="305" ht="15.75" customHeight="1">
      <c r="I305" s="8"/>
    </row>
    <row r="306" ht="15.75" customHeight="1">
      <c r="I306" s="8"/>
    </row>
    <row r="307" ht="15.75" customHeight="1">
      <c r="I307" s="8"/>
    </row>
    <row r="308" ht="15.75" customHeight="1">
      <c r="I308" s="8"/>
    </row>
    <row r="309" ht="15.75" customHeight="1">
      <c r="I309" s="8"/>
    </row>
    <row r="310" ht="15.75" customHeight="1">
      <c r="I310" s="8"/>
    </row>
    <row r="311" ht="15.75" customHeight="1">
      <c r="I311" s="8"/>
    </row>
    <row r="312" ht="15.75" customHeight="1">
      <c r="I312" s="8"/>
    </row>
    <row r="313" ht="15.75" customHeight="1">
      <c r="I313" s="8"/>
    </row>
    <row r="314" ht="15.75" customHeight="1">
      <c r="I314" s="8"/>
    </row>
    <row r="315" ht="15.75" customHeight="1">
      <c r="I315" s="8"/>
    </row>
    <row r="316" ht="15.75" customHeight="1">
      <c r="I316" s="8"/>
    </row>
    <row r="317" ht="15.75" customHeight="1">
      <c r="I317" s="8"/>
    </row>
    <row r="318" ht="15.75" customHeight="1">
      <c r="I318" s="8"/>
    </row>
    <row r="319" ht="15.75" customHeight="1">
      <c r="I319" s="8"/>
    </row>
    <row r="320" ht="15.75" customHeight="1">
      <c r="I320" s="8"/>
    </row>
    <row r="321" ht="15.75" customHeight="1">
      <c r="I321" s="8"/>
    </row>
    <row r="322" ht="15.75" customHeight="1">
      <c r="I322" s="8"/>
    </row>
    <row r="323" ht="15.75" customHeight="1">
      <c r="I323" s="8"/>
    </row>
    <row r="324" ht="15.75" customHeight="1">
      <c r="I324" s="8"/>
    </row>
    <row r="325" ht="15.75" customHeight="1">
      <c r="I325" s="8"/>
    </row>
    <row r="326" ht="15.75" customHeight="1">
      <c r="I326" s="8"/>
    </row>
    <row r="327" ht="15.75" customHeight="1">
      <c r="I327" s="8"/>
    </row>
    <row r="328" ht="15.75" customHeight="1">
      <c r="I328" s="8"/>
    </row>
    <row r="329" ht="15.75" customHeight="1">
      <c r="I329" s="8"/>
    </row>
    <row r="330" ht="15.75" customHeight="1">
      <c r="I330" s="8"/>
    </row>
    <row r="331" ht="15.75" customHeight="1">
      <c r="I331" s="8"/>
    </row>
    <row r="332" ht="15.75" customHeight="1">
      <c r="I332" s="8"/>
    </row>
    <row r="333" ht="15.75" customHeight="1">
      <c r="I333" s="8"/>
    </row>
    <row r="334" ht="15.75" customHeight="1">
      <c r="I334" s="8"/>
    </row>
    <row r="335" ht="15.75" customHeight="1">
      <c r="I335" s="8"/>
    </row>
    <row r="336" ht="15.75" customHeight="1">
      <c r="I336" s="8"/>
    </row>
    <row r="337" ht="15.75" customHeight="1">
      <c r="I337" s="8"/>
    </row>
    <row r="338" ht="15.75" customHeight="1">
      <c r="I338" s="8"/>
    </row>
    <row r="339" ht="15.75" customHeight="1">
      <c r="I339" s="8"/>
    </row>
    <row r="340" ht="15.75" customHeight="1">
      <c r="I340" s="8"/>
    </row>
    <row r="341" ht="15.75" customHeight="1">
      <c r="I341" s="8"/>
    </row>
    <row r="342" ht="15.75" customHeight="1">
      <c r="I342" s="8"/>
    </row>
    <row r="343" ht="15.75" customHeight="1">
      <c r="I343" s="8"/>
    </row>
    <row r="344" ht="15.75" customHeight="1">
      <c r="I344" s="8"/>
    </row>
    <row r="345" ht="15.75" customHeight="1">
      <c r="I345" s="8"/>
    </row>
    <row r="346" ht="15.75" customHeight="1">
      <c r="I346" s="8"/>
    </row>
    <row r="347" ht="15.75" customHeight="1">
      <c r="I347" s="8"/>
    </row>
    <row r="348" ht="15.75" customHeight="1">
      <c r="I348" s="8"/>
    </row>
    <row r="349" ht="15.75" customHeight="1">
      <c r="I349" s="8"/>
    </row>
    <row r="350" ht="15.75" customHeight="1">
      <c r="I350" s="8"/>
    </row>
    <row r="351" ht="15.75" customHeight="1">
      <c r="I351" s="8"/>
    </row>
    <row r="352" ht="15.75" customHeight="1">
      <c r="I352" s="8"/>
    </row>
    <row r="353" ht="15.75" customHeight="1">
      <c r="I353" s="8"/>
    </row>
    <row r="354" ht="15.75" customHeight="1">
      <c r="I354" s="8"/>
    </row>
    <row r="355" ht="15.75" customHeight="1">
      <c r="I355" s="8"/>
    </row>
    <row r="356" ht="15.75" customHeight="1">
      <c r="I356" s="8"/>
    </row>
    <row r="357" ht="15.75" customHeight="1">
      <c r="I357" s="8"/>
    </row>
    <row r="358" ht="15.75" customHeight="1">
      <c r="I358" s="8"/>
    </row>
    <row r="359" ht="15.75" customHeight="1">
      <c r="I359" s="8"/>
    </row>
    <row r="360" ht="15.75" customHeight="1">
      <c r="I360" s="8"/>
    </row>
    <row r="361" ht="15.75" customHeight="1">
      <c r="I361" s="8"/>
    </row>
    <row r="362" ht="15.75" customHeight="1">
      <c r="I362" s="8"/>
    </row>
    <row r="363" ht="15.75" customHeight="1">
      <c r="I363" s="8"/>
    </row>
    <row r="364" ht="15.75" customHeight="1">
      <c r="I364" s="8"/>
    </row>
    <row r="365" ht="15.75" customHeight="1">
      <c r="I365" s="8"/>
    </row>
    <row r="366" ht="15.75" customHeight="1">
      <c r="I366" s="8"/>
    </row>
    <row r="367" ht="15.75" customHeight="1">
      <c r="I367" s="8"/>
    </row>
    <row r="368" ht="15.75" customHeight="1">
      <c r="I368" s="8"/>
    </row>
    <row r="369" ht="15.75" customHeight="1">
      <c r="I369" s="8"/>
    </row>
    <row r="370" ht="15.75" customHeight="1">
      <c r="I370" s="8"/>
    </row>
    <row r="371" ht="15.75" customHeight="1">
      <c r="I371" s="8"/>
    </row>
    <row r="372" ht="15.75" customHeight="1">
      <c r="I372" s="8"/>
    </row>
    <row r="373" ht="15.75" customHeight="1">
      <c r="I373" s="8"/>
    </row>
    <row r="374" ht="15.75" customHeight="1">
      <c r="I374" s="8"/>
    </row>
    <row r="375" ht="15.75" customHeight="1">
      <c r="I375" s="8"/>
    </row>
    <row r="376" ht="15.75" customHeight="1">
      <c r="I376" s="8"/>
    </row>
    <row r="377" ht="15.75" customHeight="1">
      <c r="I377" s="8"/>
    </row>
    <row r="378" ht="15.75" customHeight="1">
      <c r="I378" s="8"/>
    </row>
    <row r="379" ht="15.75" customHeight="1">
      <c r="I379" s="8"/>
    </row>
    <row r="380" ht="15.75" customHeight="1">
      <c r="I380" s="8"/>
    </row>
    <row r="381" ht="15.75" customHeight="1">
      <c r="I381" s="8"/>
    </row>
    <row r="382" ht="15.75" customHeight="1">
      <c r="I382" s="8"/>
    </row>
    <row r="383" ht="15.75" customHeight="1">
      <c r="I383" s="8"/>
    </row>
    <row r="384" ht="15.75" customHeight="1">
      <c r="I384" s="8"/>
    </row>
    <row r="385" ht="15.75" customHeight="1">
      <c r="I385" s="8"/>
    </row>
    <row r="386" ht="15.75" customHeight="1">
      <c r="I386" s="8"/>
    </row>
    <row r="387" ht="15.75" customHeight="1">
      <c r="I387" s="8"/>
    </row>
    <row r="388" ht="15.75" customHeight="1">
      <c r="I388" s="8"/>
    </row>
    <row r="389" ht="15.75" customHeight="1">
      <c r="I389" s="8"/>
    </row>
    <row r="390" ht="15.75" customHeight="1">
      <c r="I390" s="8"/>
    </row>
    <row r="391" ht="15.75" customHeight="1">
      <c r="I391" s="8"/>
    </row>
    <row r="392" ht="15.75" customHeight="1">
      <c r="I392" s="8"/>
    </row>
    <row r="393" ht="15.75" customHeight="1">
      <c r="I393" s="8"/>
    </row>
    <row r="394" ht="15.75" customHeight="1">
      <c r="I394" s="8"/>
    </row>
    <row r="395" ht="15.75" customHeight="1">
      <c r="I395" s="8"/>
    </row>
    <row r="396" ht="15.75" customHeight="1">
      <c r="I396" s="8"/>
    </row>
    <row r="397" ht="15.75" customHeight="1">
      <c r="I397" s="8"/>
    </row>
    <row r="398" ht="15.75" customHeight="1">
      <c r="I398" s="8"/>
    </row>
    <row r="399" ht="15.75" customHeight="1">
      <c r="I399" s="8"/>
    </row>
    <row r="400" ht="15.75" customHeight="1">
      <c r="I400" s="8"/>
    </row>
    <row r="401" ht="15.75" customHeight="1">
      <c r="I401" s="8"/>
    </row>
    <row r="402" ht="15.75" customHeight="1">
      <c r="I402" s="8"/>
    </row>
    <row r="403" ht="15.75" customHeight="1">
      <c r="I403" s="8"/>
    </row>
    <row r="404" ht="15.75" customHeight="1">
      <c r="I404" s="8"/>
    </row>
    <row r="405" ht="15.75" customHeight="1">
      <c r="I405" s="8"/>
    </row>
    <row r="406" ht="15.75" customHeight="1">
      <c r="I406" s="8"/>
    </row>
    <row r="407" ht="15.75" customHeight="1">
      <c r="I407" s="8"/>
    </row>
    <row r="408" ht="15.75" customHeight="1">
      <c r="I408" s="8"/>
    </row>
    <row r="409" ht="15.75" customHeight="1">
      <c r="I409" s="8"/>
    </row>
    <row r="410" ht="15.75" customHeight="1">
      <c r="I410" s="8"/>
    </row>
    <row r="411" ht="15.75" customHeight="1">
      <c r="I411" s="8"/>
    </row>
    <row r="412" ht="15.75" customHeight="1">
      <c r="I412" s="8"/>
    </row>
    <row r="413" ht="15.75" customHeight="1">
      <c r="I413" s="8"/>
    </row>
    <row r="414" ht="15.75" customHeight="1">
      <c r="I414" s="8"/>
    </row>
    <row r="415" ht="15.75" customHeight="1">
      <c r="I415" s="8"/>
    </row>
    <row r="416" ht="15.75" customHeight="1">
      <c r="I416" s="8"/>
    </row>
    <row r="417" ht="15.75" customHeight="1">
      <c r="I417" s="8"/>
    </row>
    <row r="418" ht="15.75" customHeight="1">
      <c r="I418" s="8"/>
    </row>
    <row r="419" ht="15.75" customHeight="1">
      <c r="I419" s="8"/>
    </row>
    <row r="420" ht="15.75" customHeight="1">
      <c r="I420" s="8"/>
    </row>
    <row r="421" ht="15.75" customHeight="1">
      <c r="I421" s="8"/>
    </row>
    <row r="422" ht="15.75" customHeight="1">
      <c r="I422" s="8"/>
    </row>
    <row r="423" ht="15.75" customHeight="1">
      <c r="I423" s="8"/>
    </row>
    <row r="424" ht="15.75" customHeight="1">
      <c r="I424" s="8"/>
    </row>
    <row r="425" ht="15.75" customHeight="1">
      <c r="I425" s="8"/>
    </row>
    <row r="426" ht="15.75" customHeight="1">
      <c r="I426" s="8"/>
    </row>
    <row r="427" ht="15.75" customHeight="1">
      <c r="I427" s="8"/>
    </row>
    <row r="428" ht="15.75" customHeight="1">
      <c r="I428" s="8"/>
    </row>
    <row r="429" ht="15.75" customHeight="1">
      <c r="I429" s="8"/>
    </row>
    <row r="430" ht="15.75" customHeight="1">
      <c r="I430" s="8"/>
    </row>
    <row r="431" ht="15.75" customHeight="1">
      <c r="I431" s="8"/>
    </row>
    <row r="432" ht="15.75" customHeight="1">
      <c r="I432" s="8"/>
    </row>
    <row r="433" ht="15.75" customHeight="1">
      <c r="I433" s="8"/>
    </row>
    <row r="434" ht="15.75" customHeight="1">
      <c r="I434" s="8"/>
    </row>
    <row r="435" ht="15.75" customHeight="1">
      <c r="I435" s="8"/>
    </row>
    <row r="436" ht="15.75" customHeight="1">
      <c r="I436" s="8"/>
    </row>
    <row r="437" ht="15.75" customHeight="1">
      <c r="I437" s="8"/>
    </row>
    <row r="438" ht="15.75" customHeight="1">
      <c r="I438" s="8"/>
    </row>
    <row r="439" ht="15.75" customHeight="1">
      <c r="I439" s="8"/>
    </row>
    <row r="440" ht="15.75" customHeight="1">
      <c r="I440" s="8"/>
    </row>
    <row r="441" ht="15.75" customHeight="1">
      <c r="I441" s="8"/>
    </row>
    <row r="442" ht="15.75" customHeight="1">
      <c r="I442" s="8"/>
    </row>
    <row r="443" ht="15.75" customHeight="1">
      <c r="I443" s="8"/>
    </row>
    <row r="444" ht="15.75" customHeight="1">
      <c r="I444" s="8"/>
    </row>
    <row r="445" ht="15.75" customHeight="1">
      <c r="I445" s="8"/>
    </row>
    <row r="446" ht="15.75" customHeight="1">
      <c r="I446" s="8"/>
    </row>
    <row r="447" ht="15.75" customHeight="1">
      <c r="I447" s="8"/>
    </row>
    <row r="448" ht="15.75" customHeight="1">
      <c r="I448" s="8"/>
    </row>
    <row r="449" ht="15.75" customHeight="1">
      <c r="I449" s="8"/>
    </row>
    <row r="450" ht="15.75" customHeight="1">
      <c r="I450" s="8"/>
    </row>
    <row r="451" ht="15.75" customHeight="1">
      <c r="I451" s="8"/>
    </row>
    <row r="452" ht="15.75" customHeight="1">
      <c r="I452" s="8"/>
    </row>
    <row r="453" ht="15.75" customHeight="1">
      <c r="I453" s="8"/>
    </row>
    <row r="454" ht="15.75" customHeight="1">
      <c r="I454" s="8"/>
    </row>
    <row r="455" ht="15.75" customHeight="1">
      <c r="I455" s="8"/>
    </row>
    <row r="456" ht="15.75" customHeight="1">
      <c r="I456" s="8"/>
    </row>
    <row r="457" ht="15.75" customHeight="1">
      <c r="I457" s="8"/>
    </row>
    <row r="458" ht="15.75" customHeight="1">
      <c r="I458" s="8"/>
    </row>
    <row r="459" ht="15.75" customHeight="1">
      <c r="I459" s="8"/>
    </row>
    <row r="460" ht="15.75" customHeight="1">
      <c r="I460" s="8"/>
    </row>
    <row r="461" ht="15.75" customHeight="1">
      <c r="I461" s="8"/>
    </row>
    <row r="462" ht="15.75" customHeight="1">
      <c r="I462" s="8"/>
    </row>
    <row r="463" ht="15.75" customHeight="1">
      <c r="I463" s="8"/>
    </row>
    <row r="464" ht="15.75" customHeight="1">
      <c r="I464" s="8"/>
    </row>
    <row r="465" ht="15.75" customHeight="1">
      <c r="I465" s="8"/>
    </row>
    <row r="466" ht="15.75" customHeight="1">
      <c r="I466" s="8"/>
    </row>
    <row r="467" ht="15.75" customHeight="1">
      <c r="I467" s="8"/>
    </row>
    <row r="468" ht="15.75" customHeight="1">
      <c r="I468" s="8"/>
    </row>
    <row r="469" ht="15.75" customHeight="1">
      <c r="I469" s="8"/>
    </row>
    <row r="470" ht="15.75" customHeight="1">
      <c r="I470" s="8"/>
    </row>
    <row r="471" ht="15.75" customHeight="1">
      <c r="I471" s="8"/>
    </row>
    <row r="472" ht="15.75" customHeight="1">
      <c r="I472" s="8"/>
    </row>
    <row r="473" ht="15.75" customHeight="1">
      <c r="I473" s="8"/>
    </row>
    <row r="474" ht="15.75" customHeight="1">
      <c r="I474" s="8"/>
    </row>
    <row r="475" ht="15.75" customHeight="1">
      <c r="I475" s="8"/>
    </row>
    <row r="476" ht="15.75" customHeight="1">
      <c r="I476" s="8"/>
    </row>
    <row r="477" ht="15.75" customHeight="1">
      <c r="I477" s="8"/>
    </row>
    <row r="478" ht="15.75" customHeight="1">
      <c r="I478" s="8"/>
    </row>
    <row r="479" ht="15.75" customHeight="1">
      <c r="I479" s="8"/>
    </row>
    <row r="480" ht="15.75" customHeight="1">
      <c r="I480" s="8"/>
    </row>
    <row r="481" ht="15.75" customHeight="1">
      <c r="I481" s="8"/>
    </row>
    <row r="482" ht="15.75" customHeight="1">
      <c r="I482" s="8"/>
    </row>
    <row r="483" ht="15.75" customHeight="1">
      <c r="I483" s="8"/>
    </row>
    <row r="484" ht="15.75" customHeight="1">
      <c r="I484" s="8"/>
    </row>
    <row r="485" ht="15.75" customHeight="1">
      <c r="I485" s="8"/>
    </row>
    <row r="486" ht="15.75" customHeight="1">
      <c r="I486" s="8"/>
    </row>
    <row r="487" ht="15.75" customHeight="1">
      <c r="I487" s="8"/>
    </row>
    <row r="488" ht="15.75" customHeight="1">
      <c r="I488" s="8"/>
    </row>
    <row r="489" ht="15.75" customHeight="1">
      <c r="I489" s="8"/>
    </row>
    <row r="490" ht="15.75" customHeight="1">
      <c r="I490" s="8"/>
    </row>
    <row r="491" ht="15.75" customHeight="1">
      <c r="I491" s="8"/>
    </row>
    <row r="492" ht="15.75" customHeight="1">
      <c r="I492" s="8"/>
    </row>
    <row r="493" ht="15.75" customHeight="1">
      <c r="I493" s="8"/>
    </row>
    <row r="494" ht="15.75" customHeight="1">
      <c r="I494" s="8"/>
    </row>
    <row r="495" ht="15.75" customHeight="1">
      <c r="I495" s="8"/>
    </row>
    <row r="496" ht="15.75" customHeight="1">
      <c r="I496" s="8"/>
    </row>
    <row r="497" ht="15.75" customHeight="1">
      <c r="I497" s="8"/>
    </row>
    <row r="498" ht="15.75" customHeight="1">
      <c r="I498" s="8"/>
    </row>
    <row r="499" ht="15.75" customHeight="1">
      <c r="I499" s="8"/>
    </row>
    <row r="500" ht="15.75" customHeight="1">
      <c r="I500" s="8"/>
    </row>
    <row r="501" ht="15.75" customHeight="1">
      <c r="I501" s="8"/>
    </row>
    <row r="502" ht="15.75" customHeight="1">
      <c r="I502" s="8"/>
    </row>
    <row r="503" ht="15.75" customHeight="1">
      <c r="I503" s="8"/>
    </row>
    <row r="504" ht="15.75" customHeight="1">
      <c r="I504" s="8"/>
    </row>
    <row r="505" ht="15.75" customHeight="1">
      <c r="I505" s="8"/>
    </row>
    <row r="506" ht="15.75" customHeight="1">
      <c r="I506" s="8"/>
    </row>
    <row r="507" ht="15.75" customHeight="1">
      <c r="I507" s="8"/>
    </row>
    <row r="508" ht="15.75" customHeight="1">
      <c r="I508" s="8"/>
    </row>
    <row r="509" ht="15.75" customHeight="1">
      <c r="I509" s="8"/>
    </row>
    <row r="510" ht="15.75" customHeight="1">
      <c r="I510" s="8"/>
    </row>
    <row r="511" ht="15.75" customHeight="1">
      <c r="I511" s="8"/>
    </row>
    <row r="512" ht="15.75" customHeight="1">
      <c r="I512" s="8"/>
    </row>
    <row r="513" ht="15.75" customHeight="1">
      <c r="I513" s="8"/>
    </row>
    <row r="514" ht="15.75" customHeight="1">
      <c r="I514" s="8"/>
    </row>
    <row r="515" ht="15.75" customHeight="1">
      <c r="I515" s="8"/>
    </row>
    <row r="516" ht="15.75" customHeight="1">
      <c r="I516" s="8"/>
    </row>
    <row r="517" ht="15.75" customHeight="1">
      <c r="I517" s="8"/>
    </row>
    <row r="518" ht="15.75" customHeight="1">
      <c r="I518" s="8"/>
    </row>
    <row r="519" ht="15.75" customHeight="1">
      <c r="I519" s="8"/>
    </row>
    <row r="520" ht="15.75" customHeight="1">
      <c r="I520" s="8"/>
    </row>
    <row r="521" ht="15.75" customHeight="1">
      <c r="I521" s="8"/>
    </row>
    <row r="522" ht="15.75" customHeight="1">
      <c r="I522" s="8"/>
    </row>
    <row r="523" ht="15.75" customHeight="1">
      <c r="I523" s="8"/>
    </row>
    <row r="524" ht="15.75" customHeight="1">
      <c r="I524" s="8"/>
    </row>
    <row r="525" ht="15.75" customHeight="1">
      <c r="I525" s="8"/>
    </row>
    <row r="526" ht="15.75" customHeight="1">
      <c r="I526" s="8"/>
    </row>
    <row r="527" ht="15.75" customHeight="1">
      <c r="I527" s="8"/>
    </row>
    <row r="528" ht="15.75" customHeight="1">
      <c r="I528" s="8"/>
    </row>
    <row r="529" ht="15.75" customHeight="1">
      <c r="I529" s="8"/>
    </row>
    <row r="530" ht="15.75" customHeight="1">
      <c r="I530" s="8"/>
    </row>
    <row r="531" ht="15.75" customHeight="1">
      <c r="I531" s="8"/>
    </row>
    <row r="532" ht="15.75" customHeight="1">
      <c r="I532" s="8"/>
    </row>
    <row r="533" ht="15.75" customHeight="1">
      <c r="I533" s="8"/>
    </row>
    <row r="534" ht="15.75" customHeight="1">
      <c r="I534" s="8"/>
    </row>
    <row r="535" ht="15.75" customHeight="1">
      <c r="I535" s="8"/>
    </row>
    <row r="536" ht="15.75" customHeight="1">
      <c r="I536" s="8"/>
    </row>
    <row r="537" ht="15.75" customHeight="1">
      <c r="I537" s="8"/>
    </row>
    <row r="538" ht="15.75" customHeight="1">
      <c r="I538" s="8"/>
    </row>
    <row r="539" ht="15.75" customHeight="1">
      <c r="I539" s="8"/>
    </row>
    <row r="540" ht="15.75" customHeight="1">
      <c r="I540" s="8"/>
    </row>
    <row r="541" ht="15.75" customHeight="1">
      <c r="I541" s="8"/>
    </row>
    <row r="542" ht="15.75" customHeight="1">
      <c r="I542" s="8"/>
    </row>
    <row r="543" ht="15.75" customHeight="1">
      <c r="I543" s="8"/>
    </row>
    <row r="544" ht="15.75" customHeight="1">
      <c r="I544" s="8"/>
    </row>
    <row r="545" ht="15.75" customHeight="1">
      <c r="I545" s="8"/>
    </row>
    <row r="546" ht="15.75" customHeight="1">
      <c r="I546" s="8"/>
    </row>
    <row r="547" ht="15.75" customHeight="1">
      <c r="I547" s="8"/>
    </row>
    <row r="548" ht="15.75" customHeight="1">
      <c r="I548" s="8"/>
    </row>
    <row r="549" ht="15.75" customHeight="1">
      <c r="I549" s="8"/>
    </row>
    <row r="550" ht="15.75" customHeight="1">
      <c r="I550" s="8"/>
    </row>
    <row r="551" ht="15.75" customHeight="1">
      <c r="I551" s="8"/>
    </row>
    <row r="552" ht="15.75" customHeight="1">
      <c r="I552" s="8"/>
    </row>
    <row r="553" ht="15.75" customHeight="1">
      <c r="I553" s="8"/>
    </row>
    <row r="554" ht="15.75" customHeight="1">
      <c r="I554" s="8"/>
    </row>
    <row r="555" ht="15.75" customHeight="1">
      <c r="I555" s="8"/>
    </row>
    <row r="556" ht="15.75" customHeight="1">
      <c r="I556" s="8"/>
    </row>
    <row r="557" ht="15.75" customHeight="1">
      <c r="I557" s="8"/>
    </row>
    <row r="558" ht="15.75" customHeight="1">
      <c r="I558" s="8"/>
    </row>
    <row r="559" ht="15.75" customHeight="1">
      <c r="I559" s="8"/>
    </row>
    <row r="560" ht="15.75" customHeight="1">
      <c r="I560" s="8"/>
    </row>
    <row r="561" ht="15.75" customHeight="1">
      <c r="I561" s="8"/>
    </row>
    <row r="562" ht="15.75" customHeight="1">
      <c r="I562" s="8"/>
    </row>
    <row r="563" ht="15.75" customHeight="1">
      <c r="I563" s="8"/>
    </row>
    <row r="564" ht="15.75" customHeight="1">
      <c r="I564" s="8"/>
    </row>
    <row r="565" ht="15.75" customHeight="1">
      <c r="I565" s="8"/>
    </row>
    <row r="566" ht="15.75" customHeight="1">
      <c r="I566" s="8"/>
    </row>
    <row r="567" ht="15.75" customHeight="1">
      <c r="I567" s="8"/>
    </row>
    <row r="568" ht="15.75" customHeight="1">
      <c r="I568" s="8"/>
    </row>
    <row r="569" ht="15.75" customHeight="1">
      <c r="I569" s="8"/>
    </row>
    <row r="570" ht="15.75" customHeight="1">
      <c r="I570" s="8"/>
    </row>
    <row r="571" ht="15.75" customHeight="1">
      <c r="I571" s="8"/>
    </row>
    <row r="572" ht="15.75" customHeight="1">
      <c r="I572" s="8"/>
    </row>
    <row r="573" ht="15.75" customHeight="1">
      <c r="I573" s="8"/>
    </row>
    <row r="574" ht="15.75" customHeight="1">
      <c r="I574" s="8"/>
    </row>
    <row r="575" ht="15.75" customHeight="1">
      <c r="I575" s="8"/>
    </row>
    <row r="576" ht="15.75" customHeight="1">
      <c r="I576" s="8"/>
    </row>
    <row r="577" ht="15.75" customHeight="1">
      <c r="I577" s="8"/>
    </row>
    <row r="578" ht="15.75" customHeight="1">
      <c r="I578" s="8"/>
    </row>
    <row r="579" ht="15.75" customHeight="1">
      <c r="I579" s="8"/>
    </row>
    <row r="580" ht="15.75" customHeight="1">
      <c r="I580" s="8"/>
    </row>
    <row r="581" ht="15.75" customHeight="1">
      <c r="I581" s="8"/>
    </row>
    <row r="582" ht="15.75" customHeight="1">
      <c r="I582" s="8"/>
    </row>
    <row r="583" ht="15.75" customHeight="1">
      <c r="I583" s="8"/>
    </row>
    <row r="584" ht="15.75" customHeight="1">
      <c r="I584" s="8"/>
    </row>
    <row r="585" ht="15.75" customHeight="1">
      <c r="I585" s="8"/>
    </row>
    <row r="586" ht="15.75" customHeight="1">
      <c r="I586" s="8"/>
    </row>
    <row r="587" ht="15.75" customHeight="1">
      <c r="I587" s="8"/>
    </row>
    <row r="588" ht="15.75" customHeight="1">
      <c r="I588" s="8"/>
    </row>
    <row r="589" ht="15.75" customHeight="1">
      <c r="I589" s="8"/>
    </row>
    <row r="590" ht="15.75" customHeight="1">
      <c r="I590" s="8"/>
    </row>
    <row r="591" ht="15.75" customHeight="1">
      <c r="I591" s="8"/>
    </row>
    <row r="592" ht="15.75" customHeight="1">
      <c r="I592" s="8"/>
    </row>
    <row r="593" ht="15.75" customHeight="1">
      <c r="I593" s="8"/>
    </row>
    <row r="594" ht="15.75" customHeight="1">
      <c r="I594" s="8"/>
    </row>
    <row r="595" ht="15.75" customHeight="1">
      <c r="I595" s="8"/>
    </row>
    <row r="596" ht="15.75" customHeight="1">
      <c r="I596" s="8"/>
    </row>
    <row r="597" ht="15.75" customHeight="1">
      <c r="I597" s="8"/>
    </row>
    <row r="598" ht="15.75" customHeight="1">
      <c r="I598" s="8"/>
    </row>
    <row r="599" ht="15.75" customHeight="1">
      <c r="I599" s="8"/>
    </row>
    <row r="600" ht="15.75" customHeight="1">
      <c r="I600" s="8"/>
    </row>
    <row r="601" ht="15.75" customHeight="1">
      <c r="I601" s="8"/>
    </row>
    <row r="602" ht="15.75" customHeight="1">
      <c r="I602" s="8"/>
    </row>
    <row r="603" ht="15.75" customHeight="1">
      <c r="I603" s="8"/>
    </row>
    <row r="604" ht="15.75" customHeight="1">
      <c r="I604" s="8"/>
    </row>
    <row r="605" ht="15.75" customHeight="1">
      <c r="I605" s="8"/>
    </row>
    <row r="606" ht="15.75" customHeight="1">
      <c r="I606" s="8"/>
    </row>
    <row r="607" ht="15.75" customHeight="1">
      <c r="I607" s="8"/>
    </row>
    <row r="608" ht="15.75" customHeight="1">
      <c r="I608" s="8"/>
    </row>
    <row r="609" ht="15.75" customHeight="1">
      <c r="I609" s="8"/>
    </row>
    <row r="610" ht="15.75" customHeight="1">
      <c r="I610" s="8"/>
    </row>
    <row r="611" ht="15.75" customHeight="1">
      <c r="I611" s="8"/>
    </row>
    <row r="612" ht="15.75" customHeight="1">
      <c r="I612" s="8"/>
    </row>
    <row r="613" ht="15.75" customHeight="1">
      <c r="I613" s="8"/>
    </row>
    <row r="614" ht="15.75" customHeight="1">
      <c r="I614" s="8"/>
    </row>
    <row r="615" ht="15.75" customHeight="1">
      <c r="I615" s="8"/>
    </row>
    <row r="616" ht="15.75" customHeight="1">
      <c r="I616" s="8"/>
    </row>
    <row r="617" ht="15.75" customHeight="1">
      <c r="I617" s="8"/>
    </row>
    <row r="618" ht="15.75" customHeight="1">
      <c r="I618" s="8"/>
    </row>
    <row r="619" ht="15.75" customHeight="1">
      <c r="I619" s="8"/>
    </row>
    <row r="620" ht="15.75" customHeight="1">
      <c r="I620" s="8"/>
    </row>
    <row r="621" ht="15.75" customHeight="1">
      <c r="I621" s="8"/>
    </row>
    <row r="622" ht="15.75" customHeight="1">
      <c r="I622" s="8"/>
    </row>
    <row r="623" ht="15.75" customHeight="1">
      <c r="I623" s="8"/>
    </row>
    <row r="624" ht="15.75" customHeight="1">
      <c r="I624" s="8"/>
    </row>
    <row r="625" ht="15.75" customHeight="1">
      <c r="I625" s="8"/>
    </row>
    <row r="626" ht="15.75" customHeight="1">
      <c r="I626" s="8"/>
    </row>
    <row r="627" ht="15.75" customHeight="1">
      <c r="I627" s="8"/>
    </row>
    <row r="628" ht="15.75" customHeight="1">
      <c r="I628" s="8"/>
    </row>
    <row r="629" ht="15.75" customHeight="1">
      <c r="I629" s="8"/>
    </row>
    <row r="630" ht="15.75" customHeight="1">
      <c r="I630" s="8"/>
    </row>
    <row r="631" ht="15.75" customHeight="1">
      <c r="I631" s="8"/>
    </row>
    <row r="632" ht="15.75" customHeight="1">
      <c r="I632" s="8"/>
    </row>
    <row r="633" ht="15.75" customHeight="1">
      <c r="I633" s="8"/>
    </row>
    <row r="634" ht="15.75" customHeight="1">
      <c r="I634" s="8"/>
    </row>
    <row r="635" ht="15.75" customHeight="1">
      <c r="I635" s="8"/>
    </row>
    <row r="636" ht="15.75" customHeight="1">
      <c r="I636" s="8"/>
    </row>
    <row r="637" ht="15.75" customHeight="1">
      <c r="I637" s="8"/>
    </row>
    <row r="638" ht="15.75" customHeight="1">
      <c r="I638" s="8"/>
    </row>
    <row r="639" ht="15.75" customHeight="1">
      <c r="I639" s="8"/>
    </row>
    <row r="640" ht="15.75" customHeight="1">
      <c r="I640" s="8"/>
    </row>
    <row r="641" ht="15.75" customHeight="1">
      <c r="I641" s="8"/>
    </row>
    <row r="642" ht="15.75" customHeight="1">
      <c r="I642" s="8"/>
    </row>
    <row r="643" ht="15.75" customHeight="1">
      <c r="I643" s="8"/>
    </row>
    <row r="644" ht="15.75" customHeight="1">
      <c r="I644" s="8"/>
    </row>
    <row r="645" ht="15.75" customHeight="1">
      <c r="I645" s="8"/>
    </row>
    <row r="646" ht="15.75" customHeight="1">
      <c r="I646" s="8"/>
    </row>
    <row r="647" ht="15.75" customHeight="1">
      <c r="I647" s="8"/>
    </row>
    <row r="648" ht="15.75" customHeight="1">
      <c r="I648" s="8"/>
    </row>
    <row r="649" ht="15.75" customHeight="1">
      <c r="I649" s="8"/>
    </row>
    <row r="650" ht="15.75" customHeight="1">
      <c r="I650" s="8"/>
    </row>
    <row r="651" ht="15.75" customHeight="1">
      <c r="I651" s="8"/>
    </row>
    <row r="652" ht="15.75" customHeight="1">
      <c r="I652" s="8"/>
    </row>
    <row r="653" ht="15.75" customHeight="1">
      <c r="I653" s="8"/>
    </row>
    <row r="654" ht="15.75" customHeight="1">
      <c r="I654" s="8"/>
    </row>
    <row r="655" ht="15.75" customHeight="1">
      <c r="I655" s="8"/>
    </row>
    <row r="656" ht="15.75" customHeight="1">
      <c r="I656" s="8"/>
    </row>
    <row r="657" ht="15.75" customHeight="1">
      <c r="I657" s="8"/>
    </row>
    <row r="658" ht="15.75" customHeight="1">
      <c r="I658" s="8"/>
    </row>
    <row r="659" ht="15.75" customHeight="1">
      <c r="I659" s="8"/>
    </row>
    <row r="660" ht="15.75" customHeight="1">
      <c r="I660" s="8"/>
    </row>
    <row r="661" ht="15.75" customHeight="1">
      <c r="I661" s="8"/>
    </row>
    <row r="662" ht="15.75" customHeight="1">
      <c r="I662" s="8"/>
    </row>
    <row r="663" ht="15.75" customHeight="1">
      <c r="I663" s="8"/>
    </row>
    <row r="664" ht="15.75" customHeight="1">
      <c r="I664" s="8"/>
    </row>
    <row r="665" ht="15.75" customHeight="1">
      <c r="I665" s="8"/>
    </row>
    <row r="666" ht="15.75" customHeight="1">
      <c r="I666" s="8"/>
    </row>
    <row r="667" ht="15.75" customHeight="1">
      <c r="I667" s="8"/>
    </row>
    <row r="668" ht="15.75" customHeight="1">
      <c r="I668" s="8"/>
    </row>
    <row r="669" ht="15.75" customHeight="1">
      <c r="I669" s="8"/>
    </row>
    <row r="670" ht="15.75" customHeight="1">
      <c r="I670" s="8"/>
    </row>
    <row r="671" ht="15.75" customHeight="1">
      <c r="I671" s="8"/>
    </row>
    <row r="672" ht="15.75" customHeight="1">
      <c r="I672" s="8"/>
    </row>
    <row r="673" ht="15.75" customHeight="1">
      <c r="I673" s="8"/>
    </row>
    <row r="674" ht="15.75" customHeight="1">
      <c r="I674" s="8"/>
    </row>
    <row r="675" ht="15.75" customHeight="1">
      <c r="I675" s="8"/>
    </row>
    <row r="676" ht="15.75" customHeight="1">
      <c r="I676" s="8"/>
    </row>
    <row r="677" ht="15.75" customHeight="1">
      <c r="I677" s="8"/>
    </row>
    <row r="678" ht="15.75" customHeight="1">
      <c r="I678" s="8"/>
    </row>
    <row r="679" ht="15.75" customHeight="1">
      <c r="I679" s="8"/>
    </row>
    <row r="680" ht="15.75" customHeight="1">
      <c r="I680" s="8"/>
    </row>
    <row r="681" ht="15.75" customHeight="1">
      <c r="I681" s="8"/>
    </row>
    <row r="682" ht="15.75" customHeight="1">
      <c r="I682" s="8"/>
    </row>
    <row r="683" ht="15.75" customHeight="1">
      <c r="I683" s="8"/>
    </row>
    <row r="684" ht="15.75" customHeight="1">
      <c r="I684" s="8"/>
    </row>
    <row r="685" ht="15.75" customHeight="1">
      <c r="I685" s="8"/>
    </row>
    <row r="686" ht="15.75" customHeight="1">
      <c r="I686" s="8"/>
    </row>
    <row r="687" ht="15.75" customHeight="1">
      <c r="I687" s="8"/>
    </row>
    <row r="688" ht="15.75" customHeight="1">
      <c r="I688" s="8"/>
    </row>
    <row r="689" ht="15.75" customHeight="1">
      <c r="I689" s="8"/>
    </row>
    <row r="690" ht="15.75" customHeight="1">
      <c r="I690" s="8"/>
    </row>
    <row r="691" ht="15.75" customHeight="1">
      <c r="I691" s="8"/>
    </row>
    <row r="692" ht="15.75" customHeight="1">
      <c r="I692" s="8"/>
    </row>
    <row r="693" ht="15.75" customHeight="1">
      <c r="I693" s="8"/>
    </row>
    <row r="694" ht="15.75" customHeight="1">
      <c r="I694" s="8"/>
    </row>
    <row r="695" ht="15.75" customHeight="1">
      <c r="I695" s="8"/>
    </row>
    <row r="696" ht="15.75" customHeight="1">
      <c r="I696" s="8"/>
    </row>
    <row r="697" ht="15.75" customHeight="1">
      <c r="I697" s="8"/>
    </row>
    <row r="698" ht="15.75" customHeight="1">
      <c r="I698" s="8"/>
    </row>
    <row r="699" ht="15.75" customHeight="1">
      <c r="I699" s="8"/>
    </row>
    <row r="700" ht="15.75" customHeight="1">
      <c r="I700" s="8"/>
    </row>
    <row r="701" ht="15.75" customHeight="1">
      <c r="I701" s="8"/>
    </row>
    <row r="702" ht="15.75" customHeight="1">
      <c r="I702" s="8"/>
    </row>
    <row r="703" ht="15.75" customHeight="1">
      <c r="I703" s="8"/>
    </row>
    <row r="704" ht="15.75" customHeight="1">
      <c r="I704" s="8"/>
    </row>
    <row r="705" ht="15.75" customHeight="1">
      <c r="I705" s="8"/>
    </row>
    <row r="706" ht="15.75" customHeight="1">
      <c r="I706" s="8"/>
    </row>
    <row r="707" ht="15.75" customHeight="1">
      <c r="I707" s="8"/>
    </row>
    <row r="708" ht="15.75" customHeight="1">
      <c r="I708" s="8"/>
    </row>
    <row r="709" ht="15.75" customHeight="1">
      <c r="I709" s="8"/>
    </row>
    <row r="710" ht="15.75" customHeight="1">
      <c r="I710" s="8"/>
    </row>
    <row r="711" ht="15.75" customHeight="1">
      <c r="I711" s="8"/>
    </row>
    <row r="712" ht="15.75" customHeight="1">
      <c r="I712" s="8"/>
    </row>
    <row r="713" ht="15.75" customHeight="1">
      <c r="I713" s="8"/>
    </row>
    <row r="714" ht="15.75" customHeight="1">
      <c r="I714" s="8"/>
    </row>
    <row r="715" ht="15.75" customHeight="1">
      <c r="I715" s="8"/>
    </row>
    <row r="716" ht="15.75" customHeight="1">
      <c r="I716" s="8"/>
    </row>
    <row r="717" ht="15.75" customHeight="1">
      <c r="I717" s="8"/>
    </row>
    <row r="718" ht="15.75" customHeight="1">
      <c r="I718" s="8"/>
    </row>
    <row r="719" ht="15.75" customHeight="1">
      <c r="I719" s="8"/>
    </row>
    <row r="720" ht="15.75" customHeight="1">
      <c r="I720" s="8"/>
    </row>
    <row r="721" ht="15.75" customHeight="1">
      <c r="I721" s="8"/>
    </row>
    <row r="722" ht="15.75" customHeight="1">
      <c r="I722" s="8"/>
    </row>
    <row r="723" ht="15.75" customHeight="1">
      <c r="I723" s="8"/>
    </row>
    <row r="724" ht="15.75" customHeight="1">
      <c r="I724" s="8"/>
    </row>
    <row r="725" ht="15.75" customHeight="1">
      <c r="I725" s="8"/>
    </row>
    <row r="726" ht="15.75" customHeight="1">
      <c r="I726" s="8"/>
    </row>
    <row r="727" ht="15.75" customHeight="1">
      <c r="I727" s="8"/>
    </row>
    <row r="728" ht="15.75" customHeight="1">
      <c r="I728" s="8"/>
    </row>
    <row r="729" ht="15.75" customHeight="1">
      <c r="I729" s="8"/>
    </row>
    <row r="730" ht="15.75" customHeight="1">
      <c r="I730" s="8"/>
    </row>
    <row r="731" ht="15.75" customHeight="1">
      <c r="I731" s="8"/>
    </row>
    <row r="732" ht="15.75" customHeight="1">
      <c r="I732" s="8"/>
    </row>
    <row r="733" ht="15.75" customHeight="1">
      <c r="I733" s="8"/>
    </row>
    <row r="734" ht="15.75" customHeight="1">
      <c r="I734" s="8"/>
    </row>
    <row r="735" ht="15.75" customHeight="1">
      <c r="I735" s="8"/>
    </row>
    <row r="736" ht="15.75" customHeight="1">
      <c r="I736" s="8"/>
    </row>
    <row r="737" ht="15.75" customHeight="1">
      <c r="I737" s="8"/>
    </row>
    <row r="738" ht="15.75" customHeight="1">
      <c r="I738" s="8"/>
    </row>
    <row r="739" ht="15.75" customHeight="1">
      <c r="I739" s="8"/>
    </row>
    <row r="740" ht="15.75" customHeight="1">
      <c r="I740" s="8"/>
    </row>
    <row r="741" ht="15.75" customHeight="1">
      <c r="I741" s="8"/>
    </row>
    <row r="742" ht="15.75" customHeight="1">
      <c r="I742" s="8"/>
    </row>
    <row r="743" ht="15.75" customHeight="1">
      <c r="I743" s="8"/>
    </row>
    <row r="744" ht="15.75" customHeight="1">
      <c r="I744" s="8"/>
    </row>
    <row r="745" ht="15.75" customHeight="1">
      <c r="I745" s="8"/>
    </row>
    <row r="746" ht="15.75" customHeight="1">
      <c r="I746" s="8"/>
    </row>
    <row r="747" ht="15.75" customHeight="1">
      <c r="I747" s="8"/>
    </row>
    <row r="748" ht="15.75" customHeight="1">
      <c r="I748" s="8"/>
    </row>
    <row r="749" ht="15.75" customHeight="1">
      <c r="I749" s="8"/>
    </row>
    <row r="750" ht="15.75" customHeight="1">
      <c r="I750" s="8"/>
    </row>
    <row r="751" ht="15.75" customHeight="1">
      <c r="I751" s="8"/>
    </row>
    <row r="752" ht="15.75" customHeight="1">
      <c r="I752" s="8"/>
    </row>
    <row r="753" ht="15.75" customHeight="1">
      <c r="I753" s="8"/>
    </row>
    <row r="754" ht="15.75" customHeight="1">
      <c r="I754" s="8"/>
    </row>
    <row r="755" ht="15.75" customHeight="1">
      <c r="I755" s="8"/>
    </row>
    <row r="756" ht="15.75" customHeight="1">
      <c r="I756" s="8"/>
    </row>
    <row r="757" ht="15.75" customHeight="1">
      <c r="I757" s="8"/>
    </row>
    <row r="758" ht="15.75" customHeight="1">
      <c r="I758" s="8"/>
    </row>
    <row r="759" ht="15.75" customHeight="1">
      <c r="I759" s="8"/>
    </row>
    <row r="760" ht="15.75" customHeight="1">
      <c r="I760" s="8"/>
    </row>
    <row r="761" ht="15.75" customHeight="1">
      <c r="I761" s="8"/>
    </row>
    <row r="762" ht="15.75" customHeight="1">
      <c r="I762" s="8"/>
    </row>
    <row r="763" ht="15.75" customHeight="1">
      <c r="I763" s="8"/>
    </row>
    <row r="764" ht="15.75" customHeight="1">
      <c r="I764" s="8"/>
    </row>
    <row r="765" ht="15.75" customHeight="1">
      <c r="I765" s="8"/>
    </row>
    <row r="766" ht="15.75" customHeight="1">
      <c r="I766" s="8"/>
    </row>
    <row r="767" ht="15.75" customHeight="1">
      <c r="I767" s="8"/>
    </row>
    <row r="768" ht="15.75" customHeight="1">
      <c r="I768" s="8"/>
    </row>
    <row r="769" ht="15.75" customHeight="1">
      <c r="I769" s="8"/>
    </row>
    <row r="770" ht="15.75" customHeight="1">
      <c r="I770" s="8"/>
    </row>
    <row r="771" ht="15.75" customHeight="1">
      <c r="I771" s="8"/>
    </row>
    <row r="772" ht="15.75" customHeight="1">
      <c r="I772" s="8"/>
    </row>
    <row r="773" ht="15.75" customHeight="1">
      <c r="I773" s="8"/>
    </row>
    <row r="774" ht="15.75" customHeight="1">
      <c r="I774" s="8"/>
    </row>
    <row r="775" ht="15.75" customHeight="1">
      <c r="I775" s="8"/>
    </row>
    <row r="776" ht="15.75" customHeight="1">
      <c r="I776" s="8"/>
    </row>
    <row r="777" ht="15.75" customHeight="1">
      <c r="I777" s="8"/>
    </row>
    <row r="778" ht="15.75" customHeight="1">
      <c r="I778" s="8"/>
    </row>
    <row r="779" ht="15.75" customHeight="1">
      <c r="I779" s="8"/>
    </row>
    <row r="780" ht="15.75" customHeight="1">
      <c r="I780" s="8"/>
    </row>
    <row r="781" ht="15.75" customHeight="1">
      <c r="I781" s="8"/>
    </row>
    <row r="782" ht="15.75" customHeight="1">
      <c r="I782" s="8"/>
    </row>
    <row r="783" ht="15.75" customHeight="1">
      <c r="I783" s="8"/>
    </row>
    <row r="784" ht="15.75" customHeight="1">
      <c r="I784" s="8"/>
    </row>
    <row r="785" ht="15.75" customHeight="1">
      <c r="I785" s="8"/>
    </row>
    <row r="786" ht="15.75" customHeight="1">
      <c r="I786" s="8"/>
    </row>
    <row r="787" ht="15.75" customHeight="1">
      <c r="I787" s="8"/>
    </row>
    <row r="788" ht="15.75" customHeight="1">
      <c r="I788" s="8"/>
    </row>
    <row r="789" ht="15.75" customHeight="1">
      <c r="I789" s="8"/>
    </row>
    <row r="790" ht="15.75" customHeight="1">
      <c r="I790" s="8"/>
    </row>
    <row r="791" ht="15.75" customHeight="1">
      <c r="I791" s="8"/>
    </row>
    <row r="792" ht="15.75" customHeight="1">
      <c r="I792" s="8"/>
    </row>
    <row r="793" ht="15.75" customHeight="1">
      <c r="I793" s="8"/>
    </row>
    <row r="794" ht="15.75" customHeight="1">
      <c r="I794" s="8"/>
    </row>
    <row r="795" ht="15.75" customHeight="1">
      <c r="I795" s="8"/>
    </row>
    <row r="796" ht="15.75" customHeight="1">
      <c r="I796" s="8"/>
    </row>
    <row r="797" ht="15.75" customHeight="1">
      <c r="I797" s="8"/>
    </row>
    <row r="798" ht="15.75" customHeight="1">
      <c r="I798" s="8"/>
    </row>
    <row r="799" ht="15.75" customHeight="1">
      <c r="I799" s="8"/>
    </row>
    <row r="800" ht="15.75" customHeight="1">
      <c r="I800" s="8"/>
    </row>
    <row r="801" ht="15.75" customHeight="1">
      <c r="I801" s="8"/>
    </row>
    <row r="802" ht="15.75" customHeight="1">
      <c r="I802" s="8"/>
    </row>
    <row r="803" ht="15.75" customHeight="1">
      <c r="I803" s="8"/>
    </row>
    <row r="804" ht="15.75" customHeight="1">
      <c r="I804" s="8"/>
    </row>
    <row r="805" ht="15.75" customHeight="1">
      <c r="I805" s="8"/>
    </row>
    <row r="806" ht="15.75" customHeight="1">
      <c r="I806" s="8"/>
    </row>
    <row r="807" ht="15.75" customHeight="1">
      <c r="I807" s="8"/>
    </row>
    <row r="808" ht="15.75" customHeight="1">
      <c r="I808" s="8"/>
    </row>
    <row r="809" ht="15.75" customHeight="1">
      <c r="I809" s="8"/>
    </row>
    <row r="810" ht="15.75" customHeight="1">
      <c r="I810" s="8"/>
    </row>
    <row r="811" ht="15.75" customHeight="1">
      <c r="I811" s="8"/>
    </row>
    <row r="812" ht="15.75" customHeight="1">
      <c r="I812" s="8"/>
    </row>
    <row r="813" ht="15.75" customHeight="1">
      <c r="I813" s="8"/>
    </row>
    <row r="814" ht="15.75" customHeight="1">
      <c r="I814" s="8"/>
    </row>
    <row r="815" ht="15.75" customHeight="1">
      <c r="I815" s="8"/>
    </row>
    <row r="816" ht="15.75" customHeight="1">
      <c r="I816" s="8"/>
    </row>
    <row r="817" ht="15.75" customHeight="1">
      <c r="I817" s="8"/>
    </row>
    <row r="818" ht="15.75" customHeight="1">
      <c r="I818" s="8"/>
    </row>
    <row r="819" ht="15.75" customHeight="1">
      <c r="I819" s="8"/>
    </row>
    <row r="820" ht="15.75" customHeight="1">
      <c r="I820" s="8"/>
    </row>
    <row r="821" ht="15.75" customHeight="1">
      <c r="I821" s="8"/>
    </row>
    <row r="822" ht="15.75" customHeight="1">
      <c r="I822" s="8"/>
    </row>
    <row r="823" ht="15.75" customHeight="1">
      <c r="I823" s="8"/>
    </row>
    <row r="824" ht="15.75" customHeight="1">
      <c r="I824" s="8"/>
    </row>
    <row r="825" ht="15.75" customHeight="1">
      <c r="I825" s="8"/>
    </row>
    <row r="826" ht="15.75" customHeight="1">
      <c r="I826" s="8"/>
    </row>
    <row r="827" ht="15.75" customHeight="1">
      <c r="I827" s="8"/>
    </row>
    <row r="828" ht="15.75" customHeight="1">
      <c r="I828" s="8"/>
    </row>
    <row r="829" ht="15.75" customHeight="1">
      <c r="I829" s="8"/>
    </row>
    <row r="830" ht="15.75" customHeight="1">
      <c r="I830" s="8"/>
    </row>
    <row r="831" ht="15.75" customHeight="1">
      <c r="I831" s="8"/>
    </row>
    <row r="832" ht="15.75" customHeight="1">
      <c r="I832" s="8"/>
    </row>
    <row r="833" ht="15.75" customHeight="1">
      <c r="I833" s="8"/>
    </row>
    <row r="834" ht="15.75" customHeight="1">
      <c r="I834" s="8"/>
    </row>
    <row r="835" ht="15.75" customHeight="1">
      <c r="I835" s="8"/>
    </row>
    <row r="836" ht="15.75" customHeight="1">
      <c r="I836" s="8"/>
    </row>
    <row r="837" ht="15.75" customHeight="1">
      <c r="I837" s="8"/>
    </row>
    <row r="838" ht="15.75" customHeight="1">
      <c r="I838" s="8"/>
    </row>
    <row r="839" ht="15.75" customHeight="1">
      <c r="I839" s="8"/>
    </row>
    <row r="840" ht="15.75" customHeight="1">
      <c r="I840" s="8"/>
    </row>
    <row r="841" ht="15.75" customHeight="1">
      <c r="I841" s="8"/>
    </row>
    <row r="842" ht="15.75" customHeight="1">
      <c r="I842" s="8"/>
    </row>
    <row r="843" ht="15.75" customHeight="1">
      <c r="I843" s="8"/>
    </row>
    <row r="844" ht="15.75" customHeight="1">
      <c r="I844" s="8"/>
    </row>
    <row r="845" ht="15.75" customHeight="1">
      <c r="I845" s="8"/>
    </row>
    <row r="846" ht="15.75" customHeight="1">
      <c r="I846" s="8"/>
    </row>
    <row r="847" ht="15.75" customHeight="1">
      <c r="I847" s="8"/>
    </row>
    <row r="848" ht="15.75" customHeight="1">
      <c r="I848" s="8"/>
    </row>
    <row r="849" ht="15.75" customHeight="1">
      <c r="I849" s="8"/>
    </row>
    <row r="850" ht="15.75" customHeight="1">
      <c r="I850" s="8"/>
    </row>
    <row r="851" ht="15.75" customHeight="1">
      <c r="I851" s="8"/>
    </row>
    <row r="852" ht="15.75" customHeight="1">
      <c r="I852" s="8"/>
    </row>
    <row r="853" ht="15.75" customHeight="1">
      <c r="I853" s="8"/>
    </row>
    <row r="854" ht="15.75" customHeight="1">
      <c r="I854" s="8"/>
    </row>
    <row r="855" ht="15.75" customHeight="1">
      <c r="I855" s="8"/>
    </row>
    <row r="856" ht="15.75" customHeight="1">
      <c r="I856" s="8"/>
    </row>
    <row r="857" ht="15.75" customHeight="1">
      <c r="I857" s="8"/>
    </row>
    <row r="858" ht="15.75" customHeight="1">
      <c r="I858" s="8"/>
    </row>
    <row r="859" ht="15.75" customHeight="1">
      <c r="I859" s="8"/>
    </row>
    <row r="860" ht="15.75" customHeight="1">
      <c r="I860" s="8"/>
    </row>
    <row r="861" ht="15.75" customHeight="1">
      <c r="I861" s="8"/>
    </row>
    <row r="862" ht="15.75" customHeight="1">
      <c r="I862" s="8"/>
    </row>
    <row r="863" ht="15.75" customHeight="1">
      <c r="I863" s="8"/>
    </row>
    <row r="864" ht="15.75" customHeight="1">
      <c r="I864" s="8"/>
    </row>
    <row r="865" ht="15.75" customHeight="1">
      <c r="I865" s="8"/>
    </row>
    <row r="866" ht="15.75" customHeight="1">
      <c r="I866" s="8"/>
    </row>
    <row r="867" ht="15.75" customHeight="1">
      <c r="I867" s="8"/>
    </row>
    <row r="868" ht="15.75" customHeight="1">
      <c r="I868" s="8"/>
    </row>
    <row r="869" ht="15.75" customHeight="1">
      <c r="I869" s="8"/>
    </row>
    <row r="870" ht="15.75" customHeight="1">
      <c r="I870" s="8"/>
    </row>
    <row r="871" ht="15.75" customHeight="1">
      <c r="I871" s="8"/>
    </row>
    <row r="872" ht="15.75" customHeight="1">
      <c r="I872" s="8"/>
    </row>
    <row r="873" ht="15.75" customHeight="1">
      <c r="I873" s="8"/>
    </row>
    <row r="874" ht="15.75" customHeight="1">
      <c r="I874" s="8"/>
    </row>
    <row r="875" ht="15.75" customHeight="1">
      <c r="I875" s="8"/>
    </row>
    <row r="876" ht="15.75" customHeight="1">
      <c r="I876" s="8"/>
    </row>
    <row r="877" ht="15.75" customHeight="1">
      <c r="I877" s="8"/>
    </row>
    <row r="878" ht="15.75" customHeight="1">
      <c r="I878" s="8"/>
    </row>
    <row r="879" ht="15.75" customHeight="1">
      <c r="I879" s="8"/>
    </row>
    <row r="880" ht="15.75" customHeight="1">
      <c r="I880" s="8"/>
    </row>
    <row r="881" ht="15.75" customHeight="1">
      <c r="I881" s="8"/>
    </row>
    <row r="882" ht="15.75" customHeight="1">
      <c r="I882" s="8"/>
    </row>
    <row r="883" ht="15.75" customHeight="1">
      <c r="I883" s="8"/>
    </row>
    <row r="884" ht="15.75" customHeight="1">
      <c r="I884" s="8"/>
    </row>
    <row r="885" ht="15.75" customHeight="1">
      <c r="I885" s="8"/>
    </row>
    <row r="886" ht="15.75" customHeight="1">
      <c r="I886" s="8"/>
    </row>
    <row r="887" ht="15.75" customHeight="1">
      <c r="I887" s="8"/>
    </row>
    <row r="888" ht="15.75" customHeight="1">
      <c r="I888" s="8"/>
    </row>
    <row r="889" ht="15.75" customHeight="1">
      <c r="I889" s="8"/>
    </row>
    <row r="890" ht="15.75" customHeight="1">
      <c r="I890" s="8"/>
    </row>
    <row r="891" ht="15.75" customHeight="1">
      <c r="I891" s="8"/>
    </row>
    <row r="892" ht="15.75" customHeight="1">
      <c r="I892" s="8"/>
    </row>
    <row r="893" ht="15.75" customHeight="1">
      <c r="I893" s="8"/>
    </row>
    <row r="894" ht="15.75" customHeight="1">
      <c r="I894" s="8"/>
    </row>
    <row r="895" ht="15.75" customHeight="1">
      <c r="I895" s="8"/>
    </row>
    <row r="896" ht="15.75" customHeight="1">
      <c r="I896" s="8"/>
    </row>
    <row r="897" ht="15.75" customHeight="1">
      <c r="I897" s="8"/>
    </row>
    <row r="898" ht="15.75" customHeight="1">
      <c r="I898" s="8"/>
    </row>
    <row r="899" ht="15.75" customHeight="1">
      <c r="I899" s="8"/>
    </row>
    <row r="900" ht="15.75" customHeight="1">
      <c r="I900" s="8"/>
    </row>
    <row r="901" ht="15.75" customHeight="1">
      <c r="I901" s="8"/>
    </row>
    <row r="902" ht="15.75" customHeight="1">
      <c r="I902" s="8"/>
    </row>
    <row r="903" ht="15.75" customHeight="1">
      <c r="I903" s="8"/>
    </row>
    <row r="904" ht="15.75" customHeight="1">
      <c r="I904" s="8"/>
    </row>
    <row r="905" ht="15.75" customHeight="1">
      <c r="I905" s="8"/>
    </row>
    <row r="906" ht="15.75" customHeight="1">
      <c r="I906" s="8"/>
    </row>
    <row r="907" ht="15.75" customHeight="1">
      <c r="I907" s="8"/>
    </row>
    <row r="908" ht="15.75" customHeight="1">
      <c r="I908" s="8"/>
    </row>
    <row r="909" ht="15.75" customHeight="1">
      <c r="I909" s="8"/>
    </row>
    <row r="910" ht="15.75" customHeight="1">
      <c r="I910" s="8"/>
    </row>
    <row r="911" ht="15.75" customHeight="1">
      <c r="I911" s="8"/>
    </row>
    <row r="912" ht="15.75" customHeight="1">
      <c r="I912" s="8"/>
    </row>
    <row r="913" ht="15.75" customHeight="1">
      <c r="I913" s="8"/>
    </row>
    <row r="914" ht="15.75" customHeight="1">
      <c r="I914" s="8"/>
    </row>
    <row r="915" ht="15.75" customHeight="1">
      <c r="I915" s="8"/>
    </row>
    <row r="916" ht="15.75" customHeight="1">
      <c r="I916" s="8"/>
    </row>
    <row r="917" ht="15.75" customHeight="1">
      <c r="I917" s="8"/>
    </row>
    <row r="918" ht="15.75" customHeight="1">
      <c r="I918" s="8"/>
    </row>
    <row r="919" ht="15.75" customHeight="1">
      <c r="I919" s="8"/>
    </row>
    <row r="920" ht="15.75" customHeight="1">
      <c r="I920" s="8"/>
    </row>
    <row r="921" ht="15.75" customHeight="1">
      <c r="I921" s="8"/>
    </row>
    <row r="922" ht="15.75" customHeight="1">
      <c r="I922" s="8"/>
    </row>
    <row r="923" ht="15.75" customHeight="1">
      <c r="I923" s="8"/>
    </row>
    <row r="924" ht="15.75" customHeight="1">
      <c r="I924" s="8"/>
    </row>
    <row r="925" ht="15.75" customHeight="1">
      <c r="I925" s="8"/>
    </row>
    <row r="926" ht="15.75" customHeight="1">
      <c r="I926" s="8"/>
    </row>
    <row r="927" ht="15.75" customHeight="1">
      <c r="I927" s="8"/>
    </row>
    <row r="928" ht="15.75" customHeight="1">
      <c r="I928" s="8"/>
    </row>
    <row r="929" ht="15.75" customHeight="1">
      <c r="I929" s="8"/>
    </row>
    <row r="930" ht="15.75" customHeight="1">
      <c r="I930" s="8"/>
    </row>
    <row r="931" ht="15.75" customHeight="1">
      <c r="I931" s="8"/>
    </row>
    <row r="932" ht="15.75" customHeight="1">
      <c r="I932" s="8"/>
    </row>
    <row r="933" ht="15.75" customHeight="1">
      <c r="I933" s="8"/>
    </row>
    <row r="934" ht="15.75" customHeight="1">
      <c r="I934" s="8"/>
    </row>
    <row r="935" ht="15.75" customHeight="1">
      <c r="I935" s="8"/>
    </row>
    <row r="936" ht="15.75" customHeight="1">
      <c r="I936" s="8"/>
    </row>
    <row r="937" ht="15.75" customHeight="1">
      <c r="I937" s="8"/>
    </row>
    <row r="938" ht="15.75" customHeight="1">
      <c r="I938" s="8"/>
    </row>
    <row r="939" ht="15.75" customHeight="1">
      <c r="I939" s="8"/>
    </row>
    <row r="940" ht="15.75" customHeight="1">
      <c r="I940" s="8"/>
    </row>
    <row r="941" ht="15.75" customHeight="1">
      <c r="I941" s="8"/>
    </row>
    <row r="942" ht="15.75" customHeight="1">
      <c r="I942" s="8"/>
    </row>
    <row r="943" ht="15.75" customHeight="1">
      <c r="I943" s="8"/>
    </row>
    <row r="944" ht="15.75" customHeight="1">
      <c r="I944" s="8"/>
    </row>
    <row r="945" ht="15.75" customHeight="1">
      <c r="I945" s="8"/>
    </row>
    <row r="946" ht="15.75" customHeight="1">
      <c r="I946" s="8"/>
    </row>
    <row r="947" ht="15.75" customHeight="1">
      <c r="I947" s="8"/>
    </row>
    <row r="948" ht="15.75" customHeight="1">
      <c r="I948" s="8"/>
    </row>
    <row r="949" ht="15.75" customHeight="1">
      <c r="I949" s="8"/>
    </row>
    <row r="950" ht="15.75" customHeight="1">
      <c r="I950" s="8"/>
    </row>
    <row r="951" ht="15.75" customHeight="1">
      <c r="I951" s="8"/>
    </row>
    <row r="952" ht="15.75" customHeight="1">
      <c r="I952" s="8"/>
    </row>
    <row r="953" ht="15.75" customHeight="1">
      <c r="I953" s="8"/>
    </row>
    <row r="954" ht="15.75" customHeight="1">
      <c r="I954" s="8"/>
    </row>
    <row r="955" ht="15.75" customHeight="1">
      <c r="I955" s="8"/>
    </row>
    <row r="956" ht="15.75" customHeight="1">
      <c r="I956" s="8"/>
    </row>
    <row r="957" ht="15.75" customHeight="1">
      <c r="I957" s="8"/>
    </row>
    <row r="958" ht="15.75" customHeight="1">
      <c r="I958" s="8"/>
    </row>
    <row r="959" ht="15.75" customHeight="1">
      <c r="I959" s="8"/>
    </row>
    <row r="960" ht="15.75" customHeight="1">
      <c r="I960" s="8"/>
    </row>
    <row r="961" ht="15.75" customHeight="1">
      <c r="I961" s="8"/>
    </row>
    <row r="962" ht="15.75" customHeight="1">
      <c r="I962" s="8"/>
    </row>
    <row r="963" ht="15.75" customHeight="1">
      <c r="I963" s="8"/>
    </row>
    <row r="964" ht="15.75" customHeight="1">
      <c r="I964" s="8"/>
    </row>
    <row r="965" ht="15.75" customHeight="1">
      <c r="I965" s="8"/>
    </row>
    <row r="966" ht="15.75" customHeight="1">
      <c r="I966" s="8"/>
    </row>
    <row r="967" ht="15.75" customHeight="1">
      <c r="I967" s="8"/>
    </row>
    <row r="968" ht="15.75" customHeight="1">
      <c r="I968" s="8"/>
    </row>
    <row r="969" ht="15.75" customHeight="1">
      <c r="I969" s="8"/>
    </row>
    <row r="970" ht="15.75" customHeight="1">
      <c r="I970" s="8"/>
    </row>
    <row r="971" ht="15.75" customHeight="1">
      <c r="I971" s="8"/>
    </row>
    <row r="972" ht="15.75" customHeight="1">
      <c r="I972" s="8"/>
    </row>
    <row r="973" ht="15.75" customHeight="1">
      <c r="I973" s="8"/>
    </row>
    <row r="974" ht="15.75" customHeight="1">
      <c r="I974" s="8"/>
    </row>
    <row r="975" ht="15.75" customHeight="1">
      <c r="I975" s="8"/>
    </row>
    <row r="976" ht="15.75" customHeight="1">
      <c r="I976" s="8"/>
    </row>
    <row r="977" ht="15.75" customHeight="1">
      <c r="I977" s="8"/>
    </row>
    <row r="978" ht="15.75" customHeight="1">
      <c r="I978" s="8"/>
    </row>
    <row r="979" ht="15.75" customHeight="1">
      <c r="I979" s="8"/>
    </row>
    <row r="980" ht="15.75" customHeight="1">
      <c r="I980" s="8"/>
    </row>
    <row r="981" ht="15.75" customHeight="1">
      <c r="I981" s="8"/>
    </row>
    <row r="982" ht="15.75" customHeight="1">
      <c r="I982" s="8"/>
    </row>
    <row r="983" ht="15.75" customHeight="1">
      <c r="I983" s="8"/>
    </row>
    <row r="984" ht="15.75" customHeight="1">
      <c r="I984" s="8"/>
    </row>
    <row r="985" ht="15.75" customHeight="1">
      <c r="I985" s="8"/>
    </row>
    <row r="986" ht="15.75" customHeight="1">
      <c r="I986" s="8"/>
    </row>
    <row r="987" ht="15.75" customHeight="1">
      <c r="I987" s="8"/>
    </row>
    <row r="988" ht="15.75" customHeight="1">
      <c r="I988" s="8"/>
    </row>
    <row r="989" ht="15.75" customHeight="1">
      <c r="I989" s="8"/>
    </row>
    <row r="990" ht="15.75" customHeight="1">
      <c r="I990" s="8"/>
    </row>
    <row r="991" ht="15.75" customHeight="1">
      <c r="I991" s="8"/>
    </row>
    <row r="992" ht="15.75" customHeight="1">
      <c r="I992" s="8"/>
    </row>
    <row r="993" ht="15.75" customHeight="1">
      <c r="I993" s="8"/>
    </row>
    <row r="994" ht="15.75" customHeight="1">
      <c r="I994" s="8"/>
    </row>
    <row r="995" ht="15.75" customHeight="1">
      <c r="I995" s="8"/>
    </row>
    <row r="996" ht="15.75" customHeight="1">
      <c r="I996" s="8"/>
    </row>
    <row r="997" ht="15.75" customHeight="1">
      <c r="I997" s="8"/>
    </row>
    <row r="998" ht="15.75" customHeight="1">
      <c r="I998" s="8"/>
    </row>
    <row r="999" ht="15.75" customHeight="1">
      <c r="I999" s="8"/>
    </row>
    <row r="1000" ht="15.75" customHeight="1">
      <c r="I1000" s="8"/>
    </row>
  </sheetData>
  <autoFilter ref="$A$1:$Z$1000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8" width="23.43"/>
    <col customWidth="1" min="9" max="9" width="23.71"/>
    <col customWidth="1" min="10" max="26" width="23.43"/>
  </cols>
  <sheetData>
    <row r="1">
      <c r="A1" s="9" t="s">
        <v>1</v>
      </c>
      <c r="B1" s="9" t="s">
        <v>145</v>
      </c>
      <c r="C1" s="10" t="s">
        <v>146</v>
      </c>
      <c r="D1" s="11" t="s">
        <v>147</v>
      </c>
      <c r="E1" s="11" t="s">
        <v>148</v>
      </c>
      <c r="F1" s="11" t="s">
        <v>149</v>
      </c>
      <c r="G1" s="12" t="s">
        <v>150</v>
      </c>
      <c r="H1" s="11" t="s">
        <v>178</v>
      </c>
      <c r="I1" s="13" t="s">
        <v>179</v>
      </c>
      <c r="J1" s="13" t="s">
        <v>179</v>
      </c>
      <c r="K1" s="13" t="s">
        <v>179</v>
      </c>
      <c r="L1" s="13" t="s">
        <v>179</v>
      </c>
      <c r="M1" s="13" t="s">
        <v>179</v>
      </c>
      <c r="N1" s="13" t="s">
        <v>179</v>
      </c>
      <c r="O1" s="13" t="s">
        <v>179</v>
      </c>
      <c r="P1" s="13" t="s">
        <v>179</v>
      </c>
      <c r="Q1" s="13" t="s">
        <v>179</v>
      </c>
      <c r="R1" s="13" t="s">
        <v>179</v>
      </c>
      <c r="S1" s="13" t="s">
        <v>179</v>
      </c>
      <c r="T1" s="13" t="s">
        <v>179</v>
      </c>
      <c r="U1" s="13" t="s">
        <v>179</v>
      </c>
      <c r="V1" s="13" t="s">
        <v>179</v>
      </c>
      <c r="W1" s="13" t="s">
        <v>179</v>
      </c>
      <c r="X1" s="13" t="s">
        <v>179</v>
      </c>
      <c r="Y1" s="13" t="s">
        <v>179</v>
      </c>
      <c r="Z1" s="13" t="s">
        <v>179</v>
      </c>
    </row>
    <row r="2">
      <c r="A2" s="13" t="s">
        <v>78</v>
      </c>
      <c r="B2" s="13" t="s">
        <v>152</v>
      </c>
      <c r="C2" s="14">
        <v>976.36</v>
      </c>
      <c r="D2" s="13">
        <f>SUMIFS(Entrada!D:D,Entrada!B:B,A2)</f>
        <v>233</v>
      </c>
      <c r="E2" s="13">
        <f>SUMIFS(Saida!D:D,Saida!B:B,A2)</f>
        <v>227</v>
      </c>
      <c r="F2" s="13">
        <f t="shared" ref="F2:F6" si="1">D2-E2</f>
        <v>6</v>
      </c>
      <c r="G2" s="15">
        <f t="shared" ref="G2:G121" si="2">F2*C2</f>
        <v>5858.16</v>
      </c>
      <c r="H2" s="13" t="str">
        <f t="shared" ref="H2:H121" si="3">IFS(F2=0,"obsoleto",F2&lt;0,"estoque negativo",F2&lt;=20,"crítico",F2&lt;=100,"ok",F2&gt;100,"excesso")</f>
        <v>crítico</v>
      </c>
      <c r="I2" s="13" t="str">
        <f t="shared" ref="I2:I121" si="4">IFS(F2&lt;0,"Estoque Negativo",
F2=0,"Obsoleto",
F2&lt;=20,"Crítico", F2&gt;=100,"Excesso", 
F2&lt;=100,"OK")</f>
        <v>Crítico</v>
      </c>
      <c r="J2" s="13" t="b">
        <f t="shared" ref="J2:J121" si="5">H2=I2</f>
        <v>1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 t="s">
        <v>60</v>
      </c>
      <c r="B3" s="13" t="s">
        <v>154</v>
      </c>
      <c r="C3" s="14">
        <v>652.17</v>
      </c>
      <c r="D3" s="13">
        <f>SUMIFS(Entrada!D:D,Entrada!B:B,A3)</f>
        <v>347</v>
      </c>
      <c r="E3" s="13">
        <f>SUMIFS(Saida!D:D,Saida!B:B,A3)</f>
        <v>89</v>
      </c>
      <c r="F3" s="13">
        <f t="shared" si="1"/>
        <v>258</v>
      </c>
      <c r="G3" s="15">
        <f t="shared" si="2"/>
        <v>168259.86</v>
      </c>
      <c r="H3" s="13" t="str">
        <f t="shared" si="3"/>
        <v>excesso</v>
      </c>
      <c r="I3" s="13" t="str">
        <f t="shared" si="4"/>
        <v>Excesso</v>
      </c>
      <c r="J3" s="13" t="b">
        <f t="shared" si="5"/>
        <v>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3" t="s">
        <v>70</v>
      </c>
      <c r="B4" s="13" t="s">
        <v>156</v>
      </c>
      <c r="C4" s="14">
        <v>523.33</v>
      </c>
      <c r="D4" s="13">
        <f>SUMIFS(Entrada!D:D,Entrada!B:B,A4)</f>
        <v>291</v>
      </c>
      <c r="E4" s="13">
        <f>SUMIFS(Saida!D:D,Saida!B:B,A4)</f>
        <v>198</v>
      </c>
      <c r="F4" s="13">
        <f t="shared" si="1"/>
        <v>93</v>
      </c>
      <c r="G4" s="15">
        <f t="shared" si="2"/>
        <v>48669.69</v>
      </c>
      <c r="H4" s="13" t="str">
        <f t="shared" si="3"/>
        <v>ok</v>
      </c>
      <c r="I4" s="13" t="str">
        <f t="shared" si="4"/>
        <v>OK</v>
      </c>
      <c r="J4" s="13" t="b">
        <f t="shared" si="5"/>
        <v>1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3" t="s">
        <v>10</v>
      </c>
      <c r="B5" s="13" t="s">
        <v>154</v>
      </c>
      <c r="C5" s="14">
        <v>101.03</v>
      </c>
      <c r="D5" s="13">
        <f>SUMIFS(Entrada!D:D,Entrada!B:B,A5)</f>
        <v>266</v>
      </c>
      <c r="E5" s="13">
        <f>SUMIFS(Saida!D:D,Saida!B:B,A5)</f>
        <v>180</v>
      </c>
      <c r="F5" s="13">
        <f t="shared" si="1"/>
        <v>86</v>
      </c>
      <c r="G5" s="15">
        <f t="shared" si="2"/>
        <v>8688.58</v>
      </c>
      <c r="H5" s="13" t="str">
        <f t="shared" si="3"/>
        <v>ok</v>
      </c>
      <c r="I5" s="13" t="str">
        <f t="shared" si="4"/>
        <v>OK</v>
      </c>
      <c r="J5" s="13" t="b">
        <f t="shared" si="5"/>
        <v>1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 t="s">
        <v>89</v>
      </c>
      <c r="B6" s="13" t="s">
        <v>159</v>
      </c>
      <c r="C6" s="14">
        <v>389.93</v>
      </c>
      <c r="D6" s="13">
        <f>SUMIFS(Entrada!D:D,Entrada!B:B,A6)</f>
        <v>238</v>
      </c>
      <c r="E6" s="13">
        <f>SUMIFS(Saida!D:D,Saida!B:B,A6)</f>
        <v>29</v>
      </c>
      <c r="F6" s="13">
        <f t="shared" si="1"/>
        <v>209</v>
      </c>
      <c r="G6" s="15">
        <f t="shared" si="2"/>
        <v>81495.37</v>
      </c>
      <c r="H6" s="13" t="str">
        <f t="shared" si="3"/>
        <v>excesso</v>
      </c>
      <c r="I6" s="13" t="str">
        <f t="shared" si="4"/>
        <v>Excesso</v>
      </c>
      <c r="J6" s="13" t="b">
        <f t="shared" si="5"/>
        <v>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 t="s">
        <v>7</v>
      </c>
      <c r="B7" s="13" t="s">
        <v>152</v>
      </c>
      <c r="C7" s="14">
        <v>238.68</v>
      </c>
      <c r="D7" s="13">
        <f>SUMIFS(Entrada!D:D,Entrada!B:B,A7)</f>
        <v>317</v>
      </c>
      <c r="E7" s="13">
        <f>SUMIFS(Saida!D:D,Saida!B:B,A7)</f>
        <v>55</v>
      </c>
      <c r="F7" s="16">
        <v>100.0</v>
      </c>
      <c r="G7" s="15">
        <f t="shared" si="2"/>
        <v>23868</v>
      </c>
      <c r="H7" s="13" t="str">
        <f t="shared" si="3"/>
        <v>ok</v>
      </c>
      <c r="I7" s="13" t="str">
        <f t="shared" si="4"/>
        <v>Excesso</v>
      </c>
      <c r="J7" s="13" t="b">
        <f t="shared" si="5"/>
        <v>0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 t="s">
        <v>65</v>
      </c>
      <c r="B8" s="13" t="s">
        <v>162</v>
      </c>
      <c r="C8" s="14">
        <v>395.54</v>
      </c>
      <c r="D8" s="13">
        <f>SUMIFS(Entrada!D:D,Entrada!B:B,A8)</f>
        <v>262</v>
      </c>
      <c r="E8" s="13">
        <f>SUMIFS(Saida!D:D,Saida!B:B,A8)</f>
        <v>161</v>
      </c>
      <c r="F8" s="13">
        <f t="shared" ref="F8:F121" si="6">D8-E8</f>
        <v>101</v>
      </c>
      <c r="G8" s="15">
        <f t="shared" si="2"/>
        <v>39949.54</v>
      </c>
      <c r="H8" s="13" t="str">
        <f t="shared" si="3"/>
        <v>excesso</v>
      </c>
      <c r="I8" s="13" t="str">
        <f t="shared" si="4"/>
        <v>Excesso</v>
      </c>
      <c r="J8" s="13" t="b">
        <f t="shared" si="5"/>
        <v>1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 t="s">
        <v>67</v>
      </c>
      <c r="B9" s="13" t="s">
        <v>159</v>
      </c>
      <c r="C9" s="14">
        <v>97.2</v>
      </c>
      <c r="D9" s="13">
        <f>SUMIFS(Entrada!D:D,Entrada!B:B,A9)</f>
        <v>380</v>
      </c>
      <c r="E9" s="13">
        <f>SUMIFS(Saida!D:D,Saida!B:B,A9)</f>
        <v>235</v>
      </c>
      <c r="F9" s="13">
        <f t="shared" si="6"/>
        <v>145</v>
      </c>
      <c r="G9" s="15">
        <f t="shared" si="2"/>
        <v>14094</v>
      </c>
      <c r="H9" s="13" t="str">
        <f t="shared" si="3"/>
        <v>excesso</v>
      </c>
      <c r="I9" s="13" t="str">
        <f t="shared" si="4"/>
        <v>Excesso</v>
      </c>
      <c r="J9" s="13" t="b">
        <f t="shared" si="5"/>
        <v>1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 t="s">
        <v>125</v>
      </c>
      <c r="B10" s="13" t="s">
        <v>156</v>
      </c>
      <c r="C10" s="14">
        <v>938.68</v>
      </c>
      <c r="D10" s="13">
        <f>SUMIFS(Entrada!D:D,Entrada!B:B,A10)</f>
        <v>171</v>
      </c>
      <c r="E10" s="13">
        <f>SUMIFS(Saida!D:D,Saida!B:B,A10)</f>
        <v>88</v>
      </c>
      <c r="F10" s="13">
        <f t="shared" si="6"/>
        <v>83</v>
      </c>
      <c r="G10" s="15">
        <f t="shared" si="2"/>
        <v>77910.44</v>
      </c>
      <c r="H10" s="13" t="str">
        <f t="shared" si="3"/>
        <v>ok</v>
      </c>
      <c r="I10" s="13" t="str">
        <f t="shared" si="4"/>
        <v>OK</v>
      </c>
      <c r="J10" s="13" t="b">
        <f t="shared" si="5"/>
        <v>1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 t="s">
        <v>47</v>
      </c>
      <c r="B11" s="13" t="s">
        <v>164</v>
      </c>
      <c r="C11" s="14">
        <v>536.84</v>
      </c>
      <c r="D11" s="13">
        <f>SUMIFS(Entrada!D:D,Entrada!B:B,A11)</f>
        <v>376</v>
      </c>
      <c r="E11" s="13">
        <f>SUMIFS(Saida!D:D,Saida!B:B,A11)</f>
        <v>57</v>
      </c>
      <c r="F11" s="13">
        <f t="shared" si="6"/>
        <v>319</v>
      </c>
      <c r="G11" s="15">
        <f t="shared" si="2"/>
        <v>171251.96</v>
      </c>
      <c r="H11" s="13" t="str">
        <f t="shared" si="3"/>
        <v>excesso</v>
      </c>
      <c r="I11" s="13" t="str">
        <f t="shared" si="4"/>
        <v>Excesso</v>
      </c>
      <c r="J11" s="13" t="b">
        <f t="shared" si="5"/>
        <v>1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 t="s">
        <v>63</v>
      </c>
      <c r="B12" s="13" t="s">
        <v>164</v>
      </c>
      <c r="C12" s="14">
        <v>482.7</v>
      </c>
      <c r="D12" s="13">
        <f>SUMIFS(Entrada!D:D,Entrada!B:B,A12)</f>
        <v>657</v>
      </c>
      <c r="E12" s="13">
        <f>SUMIFS(Saida!D:D,Saida!B:B,A12)</f>
        <v>338</v>
      </c>
      <c r="F12" s="13">
        <f t="shared" si="6"/>
        <v>319</v>
      </c>
      <c r="G12" s="15">
        <f t="shared" si="2"/>
        <v>153981.3</v>
      </c>
      <c r="H12" s="13" t="str">
        <f t="shared" si="3"/>
        <v>excesso</v>
      </c>
      <c r="I12" s="13" t="str">
        <f t="shared" si="4"/>
        <v>Excesso</v>
      </c>
      <c r="J12" s="13" t="b">
        <f t="shared" si="5"/>
        <v>1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 t="s">
        <v>34</v>
      </c>
      <c r="B13" s="13" t="s">
        <v>164</v>
      </c>
      <c r="C13" s="14">
        <v>756.15</v>
      </c>
      <c r="D13" s="13">
        <f>SUMIFS(Entrada!D:D,Entrada!B:B,A13)</f>
        <v>277</v>
      </c>
      <c r="E13" s="13">
        <f>SUMIFS(Saida!D:D,Saida!B:B,A13)</f>
        <v>241</v>
      </c>
      <c r="F13" s="13">
        <f t="shared" si="6"/>
        <v>36</v>
      </c>
      <c r="G13" s="15">
        <f t="shared" si="2"/>
        <v>27221.4</v>
      </c>
      <c r="H13" s="13" t="str">
        <f t="shared" si="3"/>
        <v>ok</v>
      </c>
      <c r="I13" s="13" t="str">
        <f t="shared" si="4"/>
        <v>OK</v>
      </c>
      <c r="J13" s="13" t="b">
        <f t="shared" si="5"/>
        <v>1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 t="s">
        <v>129</v>
      </c>
      <c r="B14" s="13" t="s">
        <v>154</v>
      </c>
      <c r="C14" s="14">
        <v>966.44</v>
      </c>
      <c r="D14" s="13">
        <f>SUMIFS(Entrada!D:D,Entrada!B:B,A14)</f>
        <v>222</v>
      </c>
      <c r="E14" s="13">
        <f>SUMIFS(Saida!D:D,Saida!B:B,A14)</f>
        <v>261</v>
      </c>
      <c r="F14" s="13">
        <f t="shared" si="6"/>
        <v>-39</v>
      </c>
      <c r="G14" s="15">
        <f t="shared" si="2"/>
        <v>-37691.16</v>
      </c>
      <c r="H14" s="13" t="str">
        <f t="shared" si="3"/>
        <v>estoque negativo</v>
      </c>
      <c r="I14" s="13" t="str">
        <f t="shared" si="4"/>
        <v>Estoque Negativo</v>
      </c>
      <c r="J14" s="13" t="b">
        <f t="shared" si="5"/>
        <v>1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 t="s">
        <v>110</v>
      </c>
      <c r="B15" s="13" t="s">
        <v>152</v>
      </c>
      <c r="C15" s="14">
        <v>223.56</v>
      </c>
      <c r="D15" s="13">
        <f>SUMIFS(Entrada!D:D,Entrada!B:B,A15)</f>
        <v>577</v>
      </c>
      <c r="E15" s="13">
        <f>SUMIFS(Saida!D:D,Saida!B:B,A15)</f>
        <v>189</v>
      </c>
      <c r="F15" s="13">
        <f t="shared" si="6"/>
        <v>388</v>
      </c>
      <c r="G15" s="15">
        <f t="shared" si="2"/>
        <v>86741.28</v>
      </c>
      <c r="H15" s="13" t="str">
        <f t="shared" si="3"/>
        <v>excesso</v>
      </c>
      <c r="I15" s="13" t="str">
        <f t="shared" si="4"/>
        <v>Excesso</v>
      </c>
      <c r="J15" s="13" t="b">
        <f t="shared" si="5"/>
        <v>1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 t="s">
        <v>119</v>
      </c>
      <c r="B16" s="13" t="s">
        <v>152</v>
      </c>
      <c r="C16" s="14">
        <v>257.3</v>
      </c>
      <c r="D16" s="13">
        <f>SUMIFS(Entrada!D:D,Entrada!B:B,A16)</f>
        <v>284</v>
      </c>
      <c r="E16" s="13">
        <f>SUMIFS(Saida!D:D,Saida!B:B,A16)</f>
        <v>127</v>
      </c>
      <c r="F16" s="13">
        <f t="shared" si="6"/>
        <v>157</v>
      </c>
      <c r="G16" s="15">
        <f t="shared" si="2"/>
        <v>40396.1</v>
      </c>
      <c r="H16" s="13" t="str">
        <f t="shared" si="3"/>
        <v>excesso</v>
      </c>
      <c r="I16" s="13" t="str">
        <f t="shared" si="4"/>
        <v>Excesso</v>
      </c>
      <c r="J16" s="13" t="b">
        <f t="shared" si="5"/>
        <v>1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 t="s">
        <v>98</v>
      </c>
      <c r="B17" s="13" t="s">
        <v>164</v>
      </c>
      <c r="C17" s="14">
        <v>381.51</v>
      </c>
      <c r="D17" s="13">
        <f>SUMIFS(Entrada!D:D,Entrada!B:B,A17)</f>
        <v>104</v>
      </c>
      <c r="E17" s="13">
        <f>SUMIFS(Saida!D:D,Saida!B:B,A17)</f>
        <v>57</v>
      </c>
      <c r="F17" s="13">
        <f t="shared" si="6"/>
        <v>47</v>
      </c>
      <c r="G17" s="15">
        <f t="shared" si="2"/>
        <v>17930.97</v>
      </c>
      <c r="H17" s="13" t="str">
        <f t="shared" si="3"/>
        <v>ok</v>
      </c>
      <c r="I17" s="13" t="str">
        <f t="shared" si="4"/>
        <v>OK</v>
      </c>
      <c r="J17" s="13" t="b">
        <f t="shared" si="5"/>
        <v>1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 t="s">
        <v>40</v>
      </c>
      <c r="B18" s="13" t="s">
        <v>159</v>
      </c>
      <c r="C18" s="14">
        <v>837.9</v>
      </c>
      <c r="D18" s="13">
        <f>SUMIFS(Entrada!D:D,Entrada!B:B,A18)</f>
        <v>336</v>
      </c>
      <c r="E18" s="13">
        <f>SUMIFS(Saida!D:D,Saida!B:B,A18)</f>
        <v>188</v>
      </c>
      <c r="F18" s="13">
        <f t="shared" si="6"/>
        <v>148</v>
      </c>
      <c r="G18" s="15">
        <f t="shared" si="2"/>
        <v>124009.2</v>
      </c>
      <c r="H18" s="13" t="str">
        <f t="shared" si="3"/>
        <v>excesso</v>
      </c>
      <c r="I18" s="13" t="str">
        <f t="shared" si="4"/>
        <v>Excesso</v>
      </c>
      <c r="J18" s="13" t="b">
        <f t="shared" si="5"/>
        <v>1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 t="s">
        <v>32</v>
      </c>
      <c r="B19" s="13" t="s">
        <v>154</v>
      </c>
      <c r="C19" s="14">
        <v>715.01</v>
      </c>
      <c r="D19" s="13">
        <f>SUMIFS(Entrada!D:D,Entrada!B:B,A19)</f>
        <v>207</v>
      </c>
      <c r="E19" s="13">
        <f>SUMIFS(Saida!D:D,Saida!B:B,A19)</f>
        <v>217</v>
      </c>
      <c r="F19" s="13">
        <f t="shared" si="6"/>
        <v>-10</v>
      </c>
      <c r="G19" s="15">
        <f t="shared" si="2"/>
        <v>-7150.1</v>
      </c>
      <c r="H19" s="13" t="str">
        <f t="shared" si="3"/>
        <v>estoque negativo</v>
      </c>
      <c r="I19" s="13" t="str">
        <f t="shared" si="4"/>
        <v>Estoque Negativo</v>
      </c>
      <c r="J19" s="13" t="b">
        <f t="shared" si="5"/>
        <v>1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 t="s">
        <v>73</v>
      </c>
      <c r="B20" s="13" t="s">
        <v>154</v>
      </c>
      <c r="C20" s="14">
        <v>393.32</v>
      </c>
      <c r="D20" s="13">
        <f>SUMIFS(Entrada!D:D,Entrada!B:B,A20)</f>
        <v>335</v>
      </c>
      <c r="E20" s="13">
        <f>SUMIFS(Saida!D:D,Saida!B:B,A20)</f>
        <v>164</v>
      </c>
      <c r="F20" s="13">
        <f t="shared" si="6"/>
        <v>171</v>
      </c>
      <c r="G20" s="15">
        <f t="shared" si="2"/>
        <v>67257.72</v>
      </c>
      <c r="H20" s="13" t="str">
        <f t="shared" si="3"/>
        <v>excesso</v>
      </c>
      <c r="I20" s="13" t="str">
        <f t="shared" si="4"/>
        <v>Excesso</v>
      </c>
      <c r="J20" s="13" t="b">
        <f t="shared" si="5"/>
        <v>1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 t="s">
        <v>59</v>
      </c>
      <c r="B21" s="13" t="s">
        <v>162</v>
      </c>
      <c r="C21" s="14">
        <v>240.69</v>
      </c>
      <c r="D21" s="13">
        <f>SUMIFS(Entrada!D:D,Entrada!B:B,A21)</f>
        <v>163</v>
      </c>
      <c r="E21" s="13">
        <f>SUMIFS(Saida!D:D,Saida!B:B,A21)</f>
        <v>337</v>
      </c>
      <c r="F21" s="13">
        <f t="shared" si="6"/>
        <v>-174</v>
      </c>
      <c r="G21" s="15">
        <f t="shared" si="2"/>
        <v>-41880.06</v>
      </c>
      <c r="H21" s="13" t="str">
        <f t="shared" si="3"/>
        <v>estoque negativo</v>
      </c>
      <c r="I21" s="13" t="str">
        <f t="shared" si="4"/>
        <v>Estoque Negativo</v>
      </c>
      <c r="J21" s="13" t="b">
        <f t="shared" si="5"/>
        <v>1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 t="s">
        <v>38</v>
      </c>
      <c r="B22" s="13" t="s">
        <v>170</v>
      </c>
      <c r="C22" s="14">
        <v>477.8</v>
      </c>
      <c r="D22" s="13">
        <f>SUMIFS(Entrada!D:D,Entrada!B:B,A22)</f>
        <v>388</v>
      </c>
      <c r="E22" s="13">
        <f>SUMIFS(Saida!D:D,Saida!B:B,A22)</f>
        <v>81</v>
      </c>
      <c r="F22" s="13">
        <f t="shared" si="6"/>
        <v>307</v>
      </c>
      <c r="G22" s="15">
        <f t="shared" si="2"/>
        <v>146684.6</v>
      </c>
      <c r="H22" s="13" t="str">
        <f t="shared" si="3"/>
        <v>excesso</v>
      </c>
      <c r="I22" s="13" t="str">
        <f t="shared" si="4"/>
        <v>Excesso</v>
      </c>
      <c r="J22" s="13" t="b">
        <f t="shared" si="5"/>
        <v>1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 t="s">
        <v>30</v>
      </c>
      <c r="B23" s="13" t="s">
        <v>154</v>
      </c>
      <c r="C23" s="14">
        <v>469.5</v>
      </c>
      <c r="D23" s="13">
        <f>SUMIFS(Entrada!D:D,Entrada!B:B,A23)</f>
        <v>572</v>
      </c>
      <c r="E23" s="13">
        <f>SUMIFS(Saida!D:D,Saida!B:B,A23)</f>
        <v>142</v>
      </c>
      <c r="F23" s="13">
        <f t="shared" si="6"/>
        <v>430</v>
      </c>
      <c r="G23" s="15">
        <f t="shared" si="2"/>
        <v>201885</v>
      </c>
      <c r="H23" s="13" t="str">
        <f t="shared" si="3"/>
        <v>excesso</v>
      </c>
      <c r="I23" s="13" t="str">
        <f t="shared" si="4"/>
        <v>Excesso</v>
      </c>
      <c r="J23" s="13" t="b">
        <f t="shared" si="5"/>
        <v>1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 t="s">
        <v>116</v>
      </c>
      <c r="B24" s="13" t="s">
        <v>156</v>
      </c>
      <c r="C24" s="14">
        <v>435.65</v>
      </c>
      <c r="D24" s="13">
        <f>SUMIFS(Entrada!D:D,Entrada!B:B,A24)</f>
        <v>715</v>
      </c>
      <c r="E24" s="13">
        <f>SUMIFS(Saida!D:D,Saida!B:B,A24)</f>
        <v>96</v>
      </c>
      <c r="F24" s="13">
        <f t="shared" si="6"/>
        <v>619</v>
      </c>
      <c r="G24" s="15">
        <f t="shared" si="2"/>
        <v>269667.35</v>
      </c>
      <c r="H24" s="13" t="str">
        <f t="shared" si="3"/>
        <v>excesso</v>
      </c>
      <c r="I24" s="13" t="str">
        <f t="shared" si="4"/>
        <v>Excesso</v>
      </c>
      <c r="J24" s="13" t="b">
        <f t="shared" si="5"/>
        <v>1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 t="s">
        <v>36</v>
      </c>
      <c r="B25" s="13" t="s">
        <v>154</v>
      </c>
      <c r="C25" s="14">
        <v>491.38</v>
      </c>
      <c r="D25" s="13">
        <f>SUMIFS(Entrada!D:D,Entrada!B:B,A25)</f>
        <v>267</v>
      </c>
      <c r="E25" s="13">
        <f>SUMIFS(Saida!D:D,Saida!B:B,A25)</f>
        <v>224</v>
      </c>
      <c r="F25" s="13">
        <f t="shared" si="6"/>
        <v>43</v>
      </c>
      <c r="G25" s="15">
        <f t="shared" si="2"/>
        <v>21129.34</v>
      </c>
      <c r="H25" s="13" t="str">
        <f t="shared" si="3"/>
        <v>ok</v>
      </c>
      <c r="I25" s="13" t="str">
        <f t="shared" si="4"/>
        <v>OK</v>
      </c>
      <c r="J25" s="13" t="b">
        <f t="shared" si="5"/>
        <v>1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 t="s">
        <v>99</v>
      </c>
      <c r="B26" s="13" t="s">
        <v>152</v>
      </c>
      <c r="C26" s="14">
        <v>250.84</v>
      </c>
      <c r="D26" s="13">
        <f>SUMIFS(Entrada!D:D,Entrada!B:B,A26)</f>
        <v>362</v>
      </c>
      <c r="E26" s="13">
        <f>SUMIFS(Saida!D:D,Saida!B:B,A26)</f>
        <v>182</v>
      </c>
      <c r="F26" s="13">
        <f t="shared" si="6"/>
        <v>180</v>
      </c>
      <c r="G26" s="15">
        <f t="shared" si="2"/>
        <v>45151.2</v>
      </c>
      <c r="H26" s="13" t="str">
        <f t="shared" si="3"/>
        <v>excesso</v>
      </c>
      <c r="I26" s="13" t="str">
        <f t="shared" si="4"/>
        <v>Excesso</v>
      </c>
      <c r="J26" s="13" t="b">
        <f t="shared" si="5"/>
        <v>1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 t="s">
        <v>4</v>
      </c>
      <c r="B27" s="13" t="s">
        <v>162</v>
      </c>
      <c r="C27" s="14">
        <v>802.36</v>
      </c>
      <c r="D27" s="13">
        <f>SUMIFS(Entrada!D:D,Entrada!B:B,A27)</f>
        <v>416</v>
      </c>
      <c r="E27" s="13">
        <f>SUMIFS(Saida!D:D,Saida!B:B,A27)</f>
        <v>138</v>
      </c>
      <c r="F27" s="13">
        <f t="shared" si="6"/>
        <v>278</v>
      </c>
      <c r="G27" s="15">
        <f t="shared" si="2"/>
        <v>223056.08</v>
      </c>
      <c r="H27" s="13" t="str">
        <f t="shared" si="3"/>
        <v>excesso</v>
      </c>
      <c r="I27" s="13" t="str">
        <f t="shared" si="4"/>
        <v>Excesso</v>
      </c>
      <c r="J27" s="13" t="b">
        <f t="shared" si="5"/>
        <v>1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 t="s">
        <v>135</v>
      </c>
      <c r="B28" s="13" t="s">
        <v>170</v>
      </c>
      <c r="C28" s="14">
        <v>167.32</v>
      </c>
      <c r="D28" s="13">
        <f>SUMIFS(Entrada!D:D,Entrada!B:B,A28)</f>
        <v>211</v>
      </c>
      <c r="E28" s="13">
        <f>SUMIFS(Saida!D:D,Saida!B:B,A28)</f>
        <v>135</v>
      </c>
      <c r="F28" s="13">
        <f t="shared" si="6"/>
        <v>76</v>
      </c>
      <c r="G28" s="15">
        <f t="shared" si="2"/>
        <v>12716.32</v>
      </c>
      <c r="H28" s="13" t="str">
        <f t="shared" si="3"/>
        <v>ok</v>
      </c>
      <c r="I28" s="13" t="str">
        <f t="shared" si="4"/>
        <v>OK</v>
      </c>
      <c r="J28" s="13" t="b">
        <f t="shared" si="5"/>
        <v>1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 t="s">
        <v>23</v>
      </c>
      <c r="B29" s="13" t="s">
        <v>159</v>
      </c>
      <c r="C29" s="14">
        <v>120.79</v>
      </c>
      <c r="D29" s="13">
        <f>SUMIFS(Entrada!D:D,Entrada!B:B,A29)</f>
        <v>252</v>
      </c>
      <c r="E29" s="13">
        <f>SUMIFS(Saida!D:D,Saida!B:B,A29)</f>
        <v>194</v>
      </c>
      <c r="F29" s="13">
        <f t="shared" si="6"/>
        <v>58</v>
      </c>
      <c r="G29" s="15">
        <f t="shared" si="2"/>
        <v>7005.82</v>
      </c>
      <c r="H29" s="13" t="str">
        <f t="shared" si="3"/>
        <v>ok</v>
      </c>
      <c r="I29" s="13" t="str">
        <f t="shared" si="4"/>
        <v>OK</v>
      </c>
      <c r="J29" s="13" t="b">
        <f t="shared" si="5"/>
        <v>1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 t="s">
        <v>71</v>
      </c>
      <c r="B30" s="13" t="s">
        <v>154</v>
      </c>
      <c r="C30" s="14">
        <v>210.72</v>
      </c>
      <c r="D30" s="13">
        <f>SUMIFS(Entrada!D:D,Entrada!B:B,A30)</f>
        <v>921</v>
      </c>
      <c r="E30" s="13">
        <f>SUMIFS(Saida!D:D,Saida!B:B,A30)</f>
        <v>365</v>
      </c>
      <c r="F30" s="13">
        <f t="shared" si="6"/>
        <v>556</v>
      </c>
      <c r="G30" s="15">
        <f t="shared" si="2"/>
        <v>117160.32</v>
      </c>
      <c r="H30" s="13" t="str">
        <f t="shared" si="3"/>
        <v>excesso</v>
      </c>
      <c r="I30" s="13" t="str">
        <f t="shared" si="4"/>
        <v>Excesso</v>
      </c>
      <c r="J30" s="13" t="b">
        <f t="shared" si="5"/>
        <v>1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 t="s">
        <v>107</v>
      </c>
      <c r="B31" s="13" t="s">
        <v>162</v>
      </c>
      <c r="C31" s="14">
        <v>270.27</v>
      </c>
      <c r="D31" s="13">
        <f>SUMIFS(Entrada!D:D,Entrada!B:B,A31)</f>
        <v>67</v>
      </c>
      <c r="E31" s="13">
        <f>SUMIFS(Saida!D:D,Saida!B:B,A31)</f>
        <v>74</v>
      </c>
      <c r="F31" s="13">
        <f t="shared" si="6"/>
        <v>-7</v>
      </c>
      <c r="G31" s="15">
        <f t="shared" si="2"/>
        <v>-1891.89</v>
      </c>
      <c r="H31" s="13" t="str">
        <f t="shared" si="3"/>
        <v>estoque negativo</v>
      </c>
      <c r="I31" s="13" t="str">
        <f t="shared" si="4"/>
        <v>Estoque Negativo</v>
      </c>
      <c r="J31" s="13" t="b">
        <f t="shared" si="5"/>
        <v>1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 t="s">
        <v>136</v>
      </c>
      <c r="B32" s="13" t="s">
        <v>156</v>
      </c>
      <c r="C32" s="14">
        <v>711.1</v>
      </c>
      <c r="D32" s="13">
        <f>SUMIFS(Entrada!D:D,Entrada!B:B,A32)</f>
        <v>312</v>
      </c>
      <c r="E32" s="13">
        <f>SUMIFS(Saida!D:D,Saida!B:B,A32)</f>
        <v>289</v>
      </c>
      <c r="F32" s="13">
        <f t="shared" si="6"/>
        <v>23</v>
      </c>
      <c r="G32" s="15">
        <f t="shared" si="2"/>
        <v>16355.3</v>
      </c>
      <c r="H32" s="13" t="str">
        <f t="shared" si="3"/>
        <v>ok</v>
      </c>
      <c r="I32" s="13" t="str">
        <f t="shared" si="4"/>
        <v>OK</v>
      </c>
      <c r="J32" s="13" t="b">
        <f t="shared" si="5"/>
        <v>1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 t="s">
        <v>88</v>
      </c>
      <c r="B33" s="13" t="s">
        <v>154</v>
      </c>
      <c r="C33" s="14">
        <v>823.71</v>
      </c>
      <c r="D33" s="13">
        <f>SUMIFS(Entrada!D:D,Entrada!B:B,A33)</f>
        <v>404</v>
      </c>
      <c r="E33" s="13">
        <f>SUMIFS(Saida!D:D,Saida!B:B,A33)</f>
        <v>108</v>
      </c>
      <c r="F33" s="13">
        <f t="shared" si="6"/>
        <v>296</v>
      </c>
      <c r="G33" s="15">
        <f t="shared" si="2"/>
        <v>243818.16</v>
      </c>
      <c r="H33" s="13" t="str">
        <f t="shared" si="3"/>
        <v>excesso</v>
      </c>
      <c r="I33" s="13" t="str">
        <f t="shared" si="4"/>
        <v>Excesso</v>
      </c>
      <c r="J33" s="13" t="b">
        <f t="shared" si="5"/>
        <v>1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 t="s">
        <v>14</v>
      </c>
      <c r="B34" s="13" t="s">
        <v>156</v>
      </c>
      <c r="C34" s="14">
        <v>107.76</v>
      </c>
      <c r="D34" s="13">
        <f>SUMIFS(Entrada!D:D,Entrada!B:B,A34)</f>
        <v>264</v>
      </c>
      <c r="E34" s="13">
        <f>SUMIFS(Saida!D:D,Saida!B:B,A34)</f>
        <v>217</v>
      </c>
      <c r="F34" s="13">
        <f t="shared" si="6"/>
        <v>47</v>
      </c>
      <c r="G34" s="15">
        <f t="shared" si="2"/>
        <v>5064.72</v>
      </c>
      <c r="H34" s="13" t="str">
        <f t="shared" si="3"/>
        <v>ok</v>
      </c>
      <c r="I34" s="13" t="str">
        <f t="shared" si="4"/>
        <v>OK</v>
      </c>
      <c r="J34" s="13" t="b">
        <f t="shared" si="5"/>
        <v>1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 t="s">
        <v>120</v>
      </c>
      <c r="B35" s="13" t="s">
        <v>159</v>
      </c>
      <c r="C35" s="14">
        <v>653.64</v>
      </c>
      <c r="D35" s="13">
        <f>SUMIFS(Entrada!D:D,Entrada!B:B,A35)</f>
        <v>241</v>
      </c>
      <c r="E35" s="13">
        <f>SUMIFS(Saida!D:D,Saida!B:B,A35)</f>
        <v>183</v>
      </c>
      <c r="F35" s="13">
        <f t="shared" si="6"/>
        <v>58</v>
      </c>
      <c r="G35" s="15">
        <f t="shared" si="2"/>
        <v>37911.12</v>
      </c>
      <c r="H35" s="13" t="str">
        <f t="shared" si="3"/>
        <v>ok</v>
      </c>
      <c r="I35" s="13" t="str">
        <f t="shared" si="4"/>
        <v>OK</v>
      </c>
      <c r="J35" s="13" t="b">
        <f t="shared" si="5"/>
        <v>1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 t="s">
        <v>133</v>
      </c>
      <c r="B36" s="13" t="s">
        <v>159</v>
      </c>
      <c r="C36" s="14">
        <v>252.85</v>
      </c>
      <c r="D36" s="13">
        <f>SUMIFS(Entrada!D:D,Entrada!B:B,A36)</f>
        <v>11</v>
      </c>
      <c r="E36" s="13">
        <f>SUMIFS(Saida!D:D,Saida!B:B,A36)</f>
        <v>272</v>
      </c>
      <c r="F36" s="13">
        <f t="shared" si="6"/>
        <v>-261</v>
      </c>
      <c r="G36" s="15">
        <f t="shared" si="2"/>
        <v>-65993.85</v>
      </c>
      <c r="H36" s="13" t="str">
        <f t="shared" si="3"/>
        <v>estoque negativo</v>
      </c>
      <c r="I36" s="13" t="str">
        <f t="shared" si="4"/>
        <v>Estoque Negativo</v>
      </c>
      <c r="J36" s="13" t="b">
        <f t="shared" si="5"/>
        <v>1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 t="s">
        <v>29</v>
      </c>
      <c r="B37" s="13" t="s">
        <v>156</v>
      </c>
      <c r="C37" s="14">
        <v>775.44</v>
      </c>
      <c r="D37" s="13">
        <f>SUMIFS(Entrada!D:D,Entrada!B:B,A37)</f>
        <v>238</v>
      </c>
      <c r="E37" s="13">
        <f>SUMIFS(Saida!D:D,Saida!B:B,A37)</f>
        <v>221</v>
      </c>
      <c r="F37" s="13">
        <f t="shared" si="6"/>
        <v>17</v>
      </c>
      <c r="G37" s="15">
        <f t="shared" si="2"/>
        <v>13182.48</v>
      </c>
      <c r="H37" s="13" t="str">
        <f t="shared" si="3"/>
        <v>crítico</v>
      </c>
      <c r="I37" s="13" t="str">
        <f t="shared" si="4"/>
        <v>Crítico</v>
      </c>
      <c r="J37" s="13" t="b">
        <f t="shared" si="5"/>
        <v>1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 t="s">
        <v>12</v>
      </c>
      <c r="B38" s="13" t="s">
        <v>162</v>
      </c>
      <c r="C38" s="14">
        <v>200.74</v>
      </c>
      <c r="D38" s="13">
        <f>SUMIFS(Entrada!D:D,Entrada!B:B,A38)</f>
        <v>428</v>
      </c>
      <c r="E38" s="13">
        <f>SUMIFS(Saida!D:D,Saida!B:B,A38)</f>
        <v>133</v>
      </c>
      <c r="F38" s="13">
        <f t="shared" si="6"/>
        <v>295</v>
      </c>
      <c r="G38" s="15">
        <f t="shared" si="2"/>
        <v>59218.3</v>
      </c>
      <c r="H38" s="13" t="str">
        <f t="shared" si="3"/>
        <v>excesso</v>
      </c>
      <c r="I38" s="13" t="str">
        <f t="shared" si="4"/>
        <v>Excesso</v>
      </c>
      <c r="J38" s="13" t="b">
        <f t="shared" si="5"/>
        <v>1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 t="s">
        <v>127</v>
      </c>
      <c r="B39" s="13" t="s">
        <v>170</v>
      </c>
      <c r="C39" s="14">
        <v>347.43</v>
      </c>
      <c r="D39" s="13">
        <f>SUMIFS(Entrada!D:D,Entrada!B:B,A39)</f>
        <v>218</v>
      </c>
      <c r="E39" s="13">
        <f>SUMIFS(Saida!D:D,Saida!B:B,A39)</f>
        <v>165</v>
      </c>
      <c r="F39" s="13">
        <f t="shared" si="6"/>
        <v>53</v>
      </c>
      <c r="G39" s="15">
        <f t="shared" si="2"/>
        <v>18413.79</v>
      </c>
      <c r="H39" s="13" t="str">
        <f t="shared" si="3"/>
        <v>ok</v>
      </c>
      <c r="I39" s="13" t="str">
        <f t="shared" si="4"/>
        <v>OK</v>
      </c>
      <c r="J39" s="13" t="b">
        <f t="shared" si="5"/>
        <v>1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 t="s">
        <v>126</v>
      </c>
      <c r="B40" s="13" t="s">
        <v>152</v>
      </c>
      <c r="C40" s="14">
        <v>705.93</v>
      </c>
      <c r="D40" s="13">
        <f>SUMIFS(Entrada!D:D,Entrada!B:B,A40)</f>
        <v>402</v>
      </c>
      <c r="E40" s="13">
        <f>SUMIFS(Saida!D:D,Saida!B:B,A40)</f>
        <v>137</v>
      </c>
      <c r="F40" s="13">
        <f t="shared" si="6"/>
        <v>265</v>
      </c>
      <c r="G40" s="15">
        <f t="shared" si="2"/>
        <v>187071.45</v>
      </c>
      <c r="H40" s="13" t="str">
        <f t="shared" si="3"/>
        <v>excesso</v>
      </c>
      <c r="I40" s="13" t="str">
        <f t="shared" si="4"/>
        <v>Excesso</v>
      </c>
      <c r="J40" s="13" t="b">
        <f t="shared" si="5"/>
        <v>1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 t="s">
        <v>130</v>
      </c>
      <c r="B41" s="13" t="s">
        <v>170</v>
      </c>
      <c r="C41" s="14">
        <v>365.28</v>
      </c>
      <c r="D41" s="13">
        <f>SUMIFS(Entrada!D:D,Entrada!B:B,A41)</f>
        <v>80</v>
      </c>
      <c r="E41" s="13">
        <f>SUMIFS(Saida!D:D,Saida!B:B,A41)</f>
        <v>139</v>
      </c>
      <c r="F41" s="13">
        <f t="shared" si="6"/>
        <v>-59</v>
      </c>
      <c r="G41" s="15">
        <f t="shared" si="2"/>
        <v>-21551.52</v>
      </c>
      <c r="H41" s="13" t="str">
        <f t="shared" si="3"/>
        <v>estoque negativo</v>
      </c>
      <c r="I41" s="13" t="str">
        <f t="shared" si="4"/>
        <v>Estoque Negativo</v>
      </c>
      <c r="J41" s="13" t="b">
        <f t="shared" si="5"/>
        <v>1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 t="s">
        <v>76</v>
      </c>
      <c r="B42" s="13" t="s">
        <v>159</v>
      </c>
      <c r="C42" s="14">
        <v>536.77</v>
      </c>
      <c r="D42" s="13">
        <f>SUMIFS(Entrada!D:D,Entrada!B:B,A42)</f>
        <v>242</v>
      </c>
      <c r="E42" s="13">
        <f>SUMIFS(Saida!D:D,Saida!B:B,A42)</f>
        <v>97</v>
      </c>
      <c r="F42" s="13">
        <f t="shared" si="6"/>
        <v>145</v>
      </c>
      <c r="G42" s="15">
        <f t="shared" si="2"/>
        <v>77831.65</v>
      </c>
      <c r="H42" s="13" t="str">
        <f t="shared" si="3"/>
        <v>excesso</v>
      </c>
      <c r="I42" s="13" t="str">
        <f t="shared" si="4"/>
        <v>Excesso</v>
      </c>
      <c r="J42" s="13" t="b">
        <f t="shared" si="5"/>
        <v>1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 t="s">
        <v>112</v>
      </c>
      <c r="B43" s="13" t="s">
        <v>152</v>
      </c>
      <c r="C43" s="14">
        <v>877.23</v>
      </c>
      <c r="D43" s="13">
        <f>SUMIFS(Entrada!D:D,Entrada!B:B,A43)</f>
        <v>258</v>
      </c>
      <c r="E43" s="13">
        <f>SUMIFS(Saida!D:D,Saida!B:B,A43)</f>
        <v>231</v>
      </c>
      <c r="F43" s="13">
        <f t="shared" si="6"/>
        <v>27</v>
      </c>
      <c r="G43" s="15">
        <f t="shared" si="2"/>
        <v>23685.21</v>
      </c>
      <c r="H43" s="13" t="str">
        <f t="shared" si="3"/>
        <v>ok</v>
      </c>
      <c r="I43" s="13" t="str">
        <f t="shared" si="4"/>
        <v>OK</v>
      </c>
      <c r="J43" s="13" t="b">
        <f t="shared" si="5"/>
        <v>1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 t="s">
        <v>139</v>
      </c>
      <c r="B44" s="13" t="s">
        <v>162</v>
      </c>
      <c r="C44" s="14">
        <v>379.85</v>
      </c>
      <c r="D44" s="13">
        <f>SUMIFS(Entrada!D:D,Entrada!B:B,A44)</f>
        <v>129</v>
      </c>
      <c r="E44" s="13">
        <f>SUMIFS(Saida!D:D,Saida!B:B,A44)</f>
        <v>176</v>
      </c>
      <c r="F44" s="13">
        <f t="shared" si="6"/>
        <v>-47</v>
      </c>
      <c r="G44" s="15">
        <f t="shared" si="2"/>
        <v>-17852.95</v>
      </c>
      <c r="H44" s="13" t="str">
        <f t="shared" si="3"/>
        <v>estoque negativo</v>
      </c>
      <c r="I44" s="13" t="str">
        <f t="shared" si="4"/>
        <v>Estoque Negativo</v>
      </c>
      <c r="J44" s="13" t="b">
        <f t="shared" si="5"/>
        <v>1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 t="s">
        <v>101</v>
      </c>
      <c r="B45" s="13" t="s">
        <v>159</v>
      </c>
      <c r="C45" s="14">
        <v>991.03</v>
      </c>
      <c r="D45" s="13">
        <f>SUMIFS(Entrada!D:D,Entrada!B:B,A45)</f>
        <v>348</v>
      </c>
      <c r="E45" s="13">
        <f>SUMIFS(Saida!D:D,Saida!B:B,A45)</f>
        <v>153</v>
      </c>
      <c r="F45" s="13">
        <f t="shared" si="6"/>
        <v>195</v>
      </c>
      <c r="G45" s="15">
        <f t="shared" si="2"/>
        <v>193250.85</v>
      </c>
      <c r="H45" s="13" t="str">
        <f t="shared" si="3"/>
        <v>excesso</v>
      </c>
      <c r="I45" s="13" t="str">
        <f t="shared" si="4"/>
        <v>Excesso</v>
      </c>
      <c r="J45" s="13" t="b">
        <f t="shared" si="5"/>
        <v>1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 t="s">
        <v>97</v>
      </c>
      <c r="B46" s="13" t="s">
        <v>159</v>
      </c>
      <c r="C46" s="14">
        <v>174.26</v>
      </c>
      <c r="D46" s="13">
        <f>SUMIFS(Entrada!D:D,Entrada!B:B,A46)</f>
        <v>297</v>
      </c>
      <c r="E46" s="13">
        <f>SUMIFS(Saida!D:D,Saida!B:B,A46)</f>
        <v>160</v>
      </c>
      <c r="F46" s="13">
        <f t="shared" si="6"/>
        <v>137</v>
      </c>
      <c r="G46" s="15">
        <f t="shared" si="2"/>
        <v>23873.62</v>
      </c>
      <c r="H46" s="13" t="str">
        <f t="shared" si="3"/>
        <v>excesso</v>
      </c>
      <c r="I46" s="13" t="str">
        <f t="shared" si="4"/>
        <v>Excesso</v>
      </c>
      <c r="J46" s="13" t="b">
        <f t="shared" si="5"/>
        <v>1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 t="s">
        <v>15</v>
      </c>
      <c r="B47" s="13" t="s">
        <v>164</v>
      </c>
      <c r="C47" s="14">
        <v>339.98</v>
      </c>
      <c r="D47" s="13">
        <f>SUMIFS(Entrada!D:D,Entrada!B:B,A47)</f>
        <v>116</v>
      </c>
      <c r="E47" s="13">
        <f>SUMIFS(Saida!D:D,Saida!B:B,A47)</f>
        <v>154</v>
      </c>
      <c r="F47" s="13">
        <f t="shared" si="6"/>
        <v>-38</v>
      </c>
      <c r="G47" s="15">
        <f t="shared" si="2"/>
        <v>-12919.24</v>
      </c>
      <c r="H47" s="13" t="str">
        <f t="shared" si="3"/>
        <v>estoque negativo</v>
      </c>
      <c r="I47" s="13" t="str">
        <f t="shared" si="4"/>
        <v>Estoque Negativo</v>
      </c>
      <c r="J47" s="13" t="b">
        <f t="shared" si="5"/>
        <v>1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 t="s">
        <v>106</v>
      </c>
      <c r="B48" s="13" t="s">
        <v>152</v>
      </c>
      <c r="C48" s="14">
        <v>143.75</v>
      </c>
      <c r="D48" s="13">
        <f>SUMIFS(Entrada!D:D,Entrada!B:B,A48)</f>
        <v>297</v>
      </c>
      <c r="E48" s="13">
        <f>SUMIFS(Saida!D:D,Saida!B:B,A48)</f>
        <v>17</v>
      </c>
      <c r="F48" s="13">
        <f t="shared" si="6"/>
        <v>280</v>
      </c>
      <c r="G48" s="15">
        <f t="shared" si="2"/>
        <v>40250</v>
      </c>
      <c r="H48" s="13" t="str">
        <f t="shared" si="3"/>
        <v>excesso</v>
      </c>
      <c r="I48" s="13" t="str">
        <f t="shared" si="4"/>
        <v>Excesso</v>
      </c>
      <c r="J48" s="13" t="b">
        <f t="shared" si="5"/>
        <v>1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 t="s">
        <v>142</v>
      </c>
      <c r="B49" s="13" t="s">
        <v>170</v>
      </c>
      <c r="C49" s="14">
        <v>124.79</v>
      </c>
      <c r="D49" s="13">
        <f>SUMIFS(Entrada!D:D,Entrada!B:B,A49)</f>
        <v>0</v>
      </c>
      <c r="E49" s="13">
        <f>SUMIFS(Saida!D:D,Saida!B:B,A49)</f>
        <v>99</v>
      </c>
      <c r="F49" s="13">
        <f t="shared" si="6"/>
        <v>-99</v>
      </c>
      <c r="G49" s="15">
        <f t="shared" si="2"/>
        <v>-12354.21</v>
      </c>
      <c r="H49" s="13" t="str">
        <f t="shared" si="3"/>
        <v>estoque negativo</v>
      </c>
      <c r="I49" s="13" t="str">
        <f t="shared" si="4"/>
        <v>Estoque Negativo</v>
      </c>
      <c r="J49" s="13" t="b">
        <f t="shared" si="5"/>
        <v>1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 t="s">
        <v>21</v>
      </c>
      <c r="B50" s="13" t="s">
        <v>162</v>
      </c>
      <c r="C50" s="14">
        <v>539.37</v>
      </c>
      <c r="D50" s="13">
        <f>SUMIFS(Entrada!D:D,Entrada!B:B,A50)</f>
        <v>407</v>
      </c>
      <c r="E50" s="13">
        <f>SUMIFS(Saida!D:D,Saida!B:B,A50)</f>
        <v>212</v>
      </c>
      <c r="F50" s="13">
        <f t="shared" si="6"/>
        <v>195</v>
      </c>
      <c r="G50" s="15">
        <f t="shared" si="2"/>
        <v>105177.15</v>
      </c>
      <c r="H50" s="13" t="str">
        <f t="shared" si="3"/>
        <v>excesso</v>
      </c>
      <c r="I50" s="13" t="str">
        <f t="shared" si="4"/>
        <v>Excesso</v>
      </c>
      <c r="J50" s="13" t="b">
        <f t="shared" si="5"/>
        <v>1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 t="s">
        <v>6</v>
      </c>
      <c r="B51" s="13" t="s">
        <v>152</v>
      </c>
      <c r="C51" s="14">
        <v>121.42</v>
      </c>
      <c r="D51" s="13">
        <f>SUMIFS(Entrada!D:D,Entrada!B:B,A51)</f>
        <v>327</v>
      </c>
      <c r="E51" s="13">
        <f>SUMIFS(Saida!D:D,Saida!B:B,A51)</f>
        <v>202</v>
      </c>
      <c r="F51" s="13">
        <f t="shared" si="6"/>
        <v>125</v>
      </c>
      <c r="G51" s="15">
        <f t="shared" si="2"/>
        <v>15177.5</v>
      </c>
      <c r="H51" s="13" t="str">
        <f t="shared" si="3"/>
        <v>excesso</v>
      </c>
      <c r="I51" s="13" t="str">
        <f t="shared" si="4"/>
        <v>Excesso</v>
      </c>
      <c r="J51" s="13" t="b">
        <f t="shared" si="5"/>
        <v>1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 t="s">
        <v>54</v>
      </c>
      <c r="B52" s="13" t="s">
        <v>156</v>
      </c>
      <c r="C52" s="14">
        <v>188.17</v>
      </c>
      <c r="D52" s="13">
        <f>SUMIFS(Entrada!D:D,Entrada!B:B,A52)</f>
        <v>169</v>
      </c>
      <c r="E52" s="13">
        <f>SUMIFS(Saida!D:D,Saida!B:B,A52)</f>
        <v>107</v>
      </c>
      <c r="F52" s="13">
        <f t="shared" si="6"/>
        <v>62</v>
      </c>
      <c r="G52" s="15">
        <f t="shared" si="2"/>
        <v>11666.54</v>
      </c>
      <c r="H52" s="13" t="str">
        <f t="shared" si="3"/>
        <v>ok</v>
      </c>
      <c r="I52" s="13" t="str">
        <f t="shared" si="4"/>
        <v>OK</v>
      </c>
      <c r="J52" s="13" t="b">
        <f t="shared" si="5"/>
        <v>1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 t="s">
        <v>11</v>
      </c>
      <c r="B53" s="13" t="s">
        <v>164</v>
      </c>
      <c r="C53" s="14">
        <v>216.51</v>
      </c>
      <c r="D53" s="13">
        <f>SUMIFS(Entrada!D:D,Entrada!B:B,A53)</f>
        <v>405</v>
      </c>
      <c r="E53" s="13">
        <f>SUMIFS(Saida!D:D,Saida!B:B,A53)</f>
        <v>45</v>
      </c>
      <c r="F53" s="13">
        <f t="shared" si="6"/>
        <v>360</v>
      </c>
      <c r="G53" s="15">
        <f t="shared" si="2"/>
        <v>77943.6</v>
      </c>
      <c r="H53" s="13" t="str">
        <f t="shared" si="3"/>
        <v>excesso</v>
      </c>
      <c r="I53" s="13" t="str">
        <f t="shared" si="4"/>
        <v>Excesso</v>
      </c>
      <c r="J53" s="13" t="b">
        <f t="shared" si="5"/>
        <v>1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 t="s">
        <v>55</v>
      </c>
      <c r="B54" s="13" t="s">
        <v>170</v>
      </c>
      <c r="C54" s="14">
        <v>919.26</v>
      </c>
      <c r="D54" s="13">
        <f>SUMIFS(Entrada!D:D,Entrada!B:B,A54)</f>
        <v>324</v>
      </c>
      <c r="E54" s="13">
        <f>SUMIFS(Saida!D:D,Saida!B:B,A54)</f>
        <v>95</v>
      </c>
      <c r="F54" s="13">
        <f t="shared" si="6"/>
        <v>229</v>
      </c>
      <c r="G54" s="15">
        <f t="shared" si="2"/>
        <v>210510.54</v>
      </c>
      <c r="H54" s="13" t="str">
        <f t="shared" si="3"/>
        <v>excesso</v>
      </c>
      <c r="I54" s="13" t="str">
        <f t="shared" si="4"/>
        <v>Excesso</v>
      </c>
      <c r="J54" s="13" t="b">
        <f t="shared" si="5"/>
        <v>1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 t="s">
        <v>35</v>
      </c>
      <c r="B55" s="13" t="s">
        <v>152</v>
      </c>
      <c r="C55" s="14">
        <v>504.18</v>
      </c>
      <c r="D55" s="13">
        <f>SUMIFS(Entrada!D:D,Entrada!B:B,A55)</f>
        <v>655</v>
      </c>
      <c r="E55" s="13">
        <f>SUMIFS(Saida!D:D,Saida!B:B,A55)</f>
        <v>64</v>
      </c>
      <c r="F55" s="13">
        <f t="shared" si="6"/>
        <v>591</v>
      </c>
      <c r="G55" s="15">
        <f t="shared" si="2"/>
        <v>297970.38</v>
      </c>
      <c r="H55" s="13" t="str">
        <f t="shared" si="3"/>
        <v>excesso</v>
      </c>
      <c r="I55" s="13" t="str">
        <f t="shared" si="4"/>
        <v>Excesso</v>
      </c>
      <c r="J55" s="13" t="b">
        <f t="shared" si="5"/>
        <v>1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 t="s">
        <v>25</v>
      </c>
      <c r="B56" s="13" t="s">
        <v>170</v>
      </c>
      <c r="C56" s="14">
        <v>793.19</v>
      </c>
      <c r="D56" s="13">
        <f>SUMIFS(Entrada!D:D,Entrada!B:B,A56)</f>
        <v>555</v>
      </c>
      <c r="E56" s="13">
        <f>SUMIFS(Saida!D:D,Saida!B:B,A56)</f>
        <v>26</v>
      </c>
      <c r="F56" s="13">
        <f t="shared" si="6"/>
        <v>529</v>
      </c>
      <c r="G56" s="15">
        <f t="shared" si="2"/>
        <v>419597.51</v>
      </c>
      <c r="H56" s="13" t="str">
        <f t="shared" si="3"/>
        <v>excesso</v>
      </c>
      <c r="I56" s="13" t="str">
        <f t="shared" si="4"/>
        <v>Excesso</v>
      </c>
      <c r="J56" s="13" t="b">
        <f t="shared" si="5"/>
        <v>1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 t="s">
        <v>121</v>
      </c>
      <c r="B57" s="13" t="s">
        <v>162</v>
      </c>
      <c r="C57" s="14">
        <v>542.75</v>
      </c>
      <c r="D57" s="13">
        <f>SUMIFS(Entrada!D:D,Entrada!B:B,A57)</f>
        <v>238</v>
      </c>
      <c r="E57" s="13">
        <f>SUMIFS(Saida!D:D,Saida!B:B,A57)</f>
        <v>105</v>
      </c>
      <c r="F57" s="13">
        <f t="shared" si="6"/>
        <v>133</v>
      </c>
      <c r="G57" s="15">
        <f t="shared" si="2"/>
        <v>72185.75</v>
      </c>
      <c r="H57" s="13" t="str">
        <f t="shared" si="3"/>
        <v>excesso</v>
      </c>
      <c r="I57" s="13" t="str">
        <f t="shared" si="4"/>
        <v>Excesso</v>
      </c>
      <c r="J57" s="13" t="b">
        <f t="shared" si="5"/>
        <v>1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 t="s">
        <v>96</v>
      </c>
      <c r="B58" s="13" t="s">
        <v>154</v>
      </c>
      <c r="C58" s="14">
        <v>363.9</v>
      </c>
      <c r="D58" s="13">
        <f>SUMIFS(Entrada!D:D,Entrada!B:B,A58)</f>
        <v>523</v>
      </c>
      <c r="E58" s="13">
        <f>SUMIFS(Saida!D:D,Saida!B:B,A58)</f>
        <v>179</v>
      </c>
      <c r="F58" s="13">
        <f t="shared" si="6"/>
        <v>344</v>
      </c>
      <c r="G58" s="15">
        <f t="shared" si="2"/>
        <v>125181.6</v>
      </c>
      <c r="H58" s="13" t="str">
        <f t="shared" si="3"/>
        <v>excesso</v>
      </c>
      <c r="I58" s="13" t="str">
        <f t="shared" si="4"/>
        <v>Excesso</v>
      </c>
      <c r="J58" s="13" t="b">
        <f t="shared" si="5"/>
        <v>1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 t="s">
        <v>81</v>
      </c>
      <c r="B59" s="13" t="s">
        <v>154</v>
      </c>
      <c r="C59" s="14">
        <v>584.17</v>
      </c>
      <c r="D59" s="13">
        <f>SUMIFS(Entrada!D:D,Entrada!B:B,A59)</f>
        <v>354</v>
      </c>
      <c r="E59" s="13">
        <f>SUMIFS(Saida!D:D,Saida!B:B,A59)</f>
        <v>238</v>
      </c>
      <c r="F59" s="13">
        <f t="shared" si="6"/>
        <v>116</v>
      </c>
      <c r="G59" s="15">
        <f t="shared" si="2"/>
        <v>67763.72</v>
      </c>
      <c r="H59" s="13" t="str">
        <f t="shared" si="3"/>
        <v>excesso</v>
      </c>
      <c r="I59" s="13" t="str">
        <f t="shared" si="4"/>
        <v>Excesso</v>
      </c>
      <c r="J59" s="13" t="b">
        <f t="shared" si="5"/>
        <v>1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 t="s">
        <v>17</v>
      </c>
      <c r="B60" s="13" t="s">
        <v>152</v>
      </c>
      <c r="C60" s="14">
        <v>820.78</v>
      </c>
      <c r="D60" s="13">
        <f>SUMIFS(Entrada!D:D,Entrada!B:B,A60)</f>
        <v>406</v>
      </c>
      <c r="E60" s="13">
        <f>SUMIFS(Saida!D:D,Saida!B:B,A60)</f>
        <v>346</v>
      </c>
      <c r="F60" s="13">
        <f t="shared" si="6"/>
        <v>60</v>
      </c>
      <c r="G60" s="15">
        <f t="shared" si="2"/>
        <v>49246.8</v>
      </c>
      <c r="H60" s="13" t="str">
        <f t="shared" si="3"/>
        <v>ok</v>
      </c>
      <c r="I60" s="13" t="str">
        <f t="shared" si="4"/>
        <v>OK</v>
      </c>
      <c r="J60" s="13" t="b">
        <f t="shared" si="5"/>
        <v>1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 t="s">
        <v>43</v>
      </c>
      <c r="B61" s="13" t="s">
        <v>152</v>
      </c>
      <c r="C61" s="14">
        <v>92.41</v>
      </c>
      <c r="D61" s="13">
        <f>SUMIFS(Entrada!D:D,Entrada!B:B,A61)</f>
        <v>448</v>
      </c>
      <c r="E61" s="13">
        <f>SUMIFS(Saida!D:D,Saida!B:B,A61)</f>
        <v>71</v>
      </c>
      <c r="F61" s="13">
        <f t="shared" si="6"/>
        <v>377</v>
      </c>
      <c r="G61" s="15">
        <f t="shared" si="2"/>
        <v>34838.57</v>
      </c>
      <c r="H61" s="13" t="str">
        <f t="shared" si="3"/>
        <v>excesso</v>
      </c>
      <c r="I61" s="13" t="str">
        <f t="shared" si="4"/>
        <v>Excesso</v>
      </c>
      <c r="J61" s="13" t="b">
        <f t="shared" si="5"/>
        <v>1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 t="s">
        <v>45</v>
      </c>
      <c r="B62" s="13" t="s">
        <v>154</v>
      </c>
      <c r="C62" s="14">
        <v>977.6</v>
      </c>
      <c r="D62" s="13">
        <f>SUMIFS(Entrada!D:D,Entrada!B:B,A62)</f>
        <v>594</v>
      </c>
      <c r="E62" s="13">
        <f>SUMIFS(Saida!D:D,Saida!B:B,A62)</f>
        <v>246</v>
      </c>
      <c r="F62" s="13">
        <f t="shared" si="6"/>
        <v>348</v>
      </c>
      <c r="G62" s="15">
        <f t="shared" si="2"/>
        <v>340204.8</v>
      </c>
      <c r="H62" s="13" t="str">
        <f t="shared" si="3"/>
        <v>excesso</v>
      </c>
      <c r="I62" s="13" t="str">
        <f t="shared" si="4"/>
        <v>Excesso</v>
      </c>
      <c r="J62" s="13" t="b">
        <f t="shared" si="5"/>
        <v>1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 t="s">
        <v>118</v>
      </c>
      <c r="B63" s="13" t="s">
        <v>156</v>
      </c>
      <c r="C63" s="14">
        <v>580.81</v>
      </c>
      <c r="D63" s="13">
        <f>SUMIFS(Entrada!D:D,Entrada!B:B,A63)</f>
        <v>73</v>
      </c>
      <c r="E63" s="13">
        <f>SUMIFS(Saida!D:D,Saida!B:B,A63)</f>
        <v>180</v>
      </c>
      <c r="F63" s="13">
        <f t="shared" si="6"/>
        <v>-107</v>
      </c>
      <c r="G63" s="15">
        <f t="shared" si="2"/>
        <v>-62146.67</v>
      </c>
      <c r="H63" s="13" t="str">
        <f t="shared" si="3"/>
        <v>estoque negativo</v>
      </c>
      <c r="I63" s="13" t="str">
        <f t="shared" si="4"/>
        <v>Estoque Negativo</v>
      </c>
      <c r="J63" s="13" t="b">
        <f t="shared" si="5"/>
        <v>1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 t="s">
        <v>117</v>
      </c>
      <c r="B64" s="13" t="s">
        <v>170</v>
      </c>
      <c r="C64" s="14">
        <v>383.87</v>
      </c>
      <c r="D64" s="13">
        <f>SUMIFS(Entrada!D:D,Entrada!B:B,A64)</f>
        <v>174</v>
      </c>
      <c r="E64" s="13">
        <f>SUMIFS(Saida!D:D,Saida!B:B,A64)</f>
        <v>281</v>
      </c>
      <c r="F64" s="13">
        <f t="shared" si="6"/>
        <v>-107</v>
      </c>
      <c r="G64" s="15">
        <f t="shared" si="2"/>
        <v>-41074.09</v>
      </c>
      <c r="H64" s="13" t="str">
        <f t="shared" si="3"/>
        <v>estoque negativo</v>
      </c>
      <c r="I64" s="13" t="str">
        <f t="shared" si="4"/>
        <v>Estoque Negativo</v>
      </c>
      <c r="J64" s="13" t="b">
        <f t="shared" si="5"/>
        <v>1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 t="s">
        <v>53</v>
      </c>
      <c r="B65" s="13" t="s">
        <v>170</v>
      </c>
      <c r="C65" s="14">
        <v>723.8</v>
      </c>
      <c r="D65" s="13">
        <f>SUMIFS(Entrada!D:D,Entrada!B:B,A65)</f>
        <v>294</v>
      </c>
      <c r="E65" s="13">
        <f>SUMIFS(Saida!D:D,Saida!B:B,A65)</f>
        <v>276</v>
      </c>
      <c r="F65" s="13">
        <f t="shared" si="6"/>
        <v>18</v>
      </c>
      <c r="G65" s="15">
        <f t="shared" si="2"/>
        <v>13028.4</v>
      </c>
      <c r="H65" s="13" t="str">
        <f t="shared" si="3"/>
        <v>crítico</v>
      </c>
      <c r="I65" s="13" t="str">
        <f t="shared" si="4"/>
        <v>Crítico</v>
      </c>
      <c r="J65" s="13" t="b">
        <f t="shared" si="5"/>
        <v>1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 t="s">
        <v>72</v>
      </c>
      <c r="B66" s="13" t="s">
        <v>170</v>
      </c>
      <c r="C66" s="14">
        <v>503.07</v>
      </c>
      <c r="D66" s="13">
        <f>SUMIFS(Entrada!D:D,Entrada!B:B,A66)</f>
        <v>209</v>
      </c>
      <c r="E66" s="13">
        <f>SUMIFS(Saida!D:D,Saida!B:B,A66)</f>
        <v>273</v>
      </c>
      <c r="F66" s="13">
        <f t="shared" si="6"/>
        <v>-64</v>
      </c>
      <c r="G66" s="15">
        <f t="shared" si="2"/>
        <v>-32196.48</v>
      </c>
      <c r="H66" s="13" t="str">
        <f t="shared" si="3"/>
        <v>estoque negativo</v>
      </c>
      <c r="I66" s="13" t="str">
        <f t="shared" si="4"/>
        <v>Estoque Negativo</v>
      </c>
      <c r="J66" s="13" t="b">
        <f t="shared" si="5"/>
        <v>1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 t="s">
        <v>64</v>
      </c>
      <c r="B67" s="13" t="s">
        <v>154</v>
      </c>
      <c r="C67" s="14">
        <v>742.3</v>
      </c>
      <c r="D67" s="13">
        <f>SUMIFS(Entrada!D:D,Entrada!B:B,A67)</f>
        <v>392</v>
      </c>
      <c r="E67" s="13">
        <f>SUMIFS(Saida!D:D,Saida!B:B,A67)</f>
        <v>152</v>
      </c>
      <c r="F67" s="13">
        <f t="shared" si="6"/>
        <v>240</v>
      </c>
      <c r="G67" s="15">
        <f t="shared" si="2"/>
        <v>178152</v>
      </c>
      <c r="H67" s="13" t="str">
        <f t="shared" si="3"/>
        <v>excesso</v>
      </c>
      <c r="I67" s="13" t="str">
        <f t="shared" si="4"/>
        <v>Excesso</v>
      </c>
      <c r="J67" s="13" t="b">
        <f t="shared" si="5"/>
        <v>1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 t="s">
        <v>37</v>
      </c>
      <c r="B68" s="13" t="s">
        <v>164</v>
      </c>
      <c r="C68" s="14">
        <v>506.5</v>
      </c>
      <c r="D68" s="13">
        <f>SUMIFS(Entrada!D:D,Entrada!B:B,A68)</f>
        <v>291</v>
      </c>
      <c r="E68" s="13">
        <f>SUMIFS(Saida!D:D,Saida!B:B,A68)</f>
        <v>70</v>
      </c>
      <c r="F68" s="13">
        <f t="shared" si="6"/>
        <v>221</v>
      </c>
      <c r="G68" s="15">
        <f t="shared" si="2"/>
        <v>111936.5</v>
      </c>
      <c r="H68" s="13" t="str">
        <f t="shared" si="3"/>
        <v>excesso</v>
      </c>
      <c r="I68" s="13" t="str">
        <f t="shared" si="4"/>
        <v>Excesso</v>
      </c>
      <c r="J68" s="13" t="b">
        <f t="shared" si="5"/>
        <v>1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 t="s">
        <v>57</v>
      </c>
      <c r="B69" s="13" t="s">
        <v>164</v>
      </c>
      <c r="C69" s="14">
        <v>863.63</v>
      </c>
      <c r="D69" s="13">
        <f>SUMIFS(Entrada!D:D,Entrada!B:B,A69)</f>
        <v>394</v>
      </c>
      <c r="E69" s="13">
        <f>SUMIFS(Saida!D:D,Saida!B:B,A69)</f>
        <v>138</v>
      </c>
      <c r="F69" s="13">
        <f t="shared" si="6"/>
        <v>256</v>
      </c>
      <c r="G69" s="15">
        <f t="shared" si="2"/>
        <v>221089.28</v>
      </c>
      <c r="H69" s="13" t="str">
        <f t="shared" si="3"/>
        <v>excesso</v>
      </c>
      <c r="I69" s="13" t="str">
        <f t="shared" si="4"/>
        <v>Excesso</v>
      </c>
      <c r="J69" s="13" t="b">
        <f t="shared" si="5"/>
        <v>1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 t="s">
        <v>9</v>
      </c>
      <c r="B70" s="13" t="s">
        <v>170</v>
      </c>
      <c r="C70" s="14">
        <v>577.43</v>
      </c>
      <c r="D70" s="13">
        <f>SUMIFS(Entrada!D:D,Entrada!B:B,A70)</f>
        <v>298</v>
      </c>
      <c r="E70" s="13">
        <f>SUMIFS(Saida!D:D,Saida!B:B,A70)</f>
        <v>244</v>
      </c>
      <c r="F70" s="13">
        <f t="shared" si="6"/>
        <v>54</v>
      </c>
      <c r="G70" s="15">
        <f t="shared" si="2"/>
        <v>31181.22</v>
      </c>
      <c r="H70" s="13" t="str">
        <f t="shared" si="3"/>
        <v>ok</v>
      </c>
      <c r="I70" s="13" t="str">
        <f t="shared" si="4"/>
        <v>OK</v>
      </c>
      <c r="J70" s="13" t="b">
        <f t="shared" si="5"/>
        <v>1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 t="s">
        <v>68</v>
      </c>
      <c r="B71" s="13" t="s">
        <v>162</v>
      </c>
      <c r="C71" s="14">
        <v>588.87</v>
      </c>
      <c r="D71" s="13">
        <f>SUMIFS(Entrada!D:D,Entrada!B:B,A71)</f>
        <v>321</v>
      </c>
      <c r="E71" s="13">
        <f>SUMIFS(Saida!D:D,Saida!B:B,A71)</f>
        <v>193</v>
      </c>
      <c r="F71" s="13">
        <f t="shared" si="6"/>
        <v>128</v>
      </c>
      <c r="G71" s="15">
        <f t="shared" si="2"/>
        <v>75375.36</v>
      </c>
      <c r="H71" s="13" t="str">
        <f t="shared" si="3"/>
        <v>excesso</v>
      </c>
      <c r="I71" s="13" t="str">
        <f t="shared" si="4"/>
        <v>Excesso</v>
      </c>
      <c r="J71" s="13" t="b">
        <f t="shared" si="5"/>
        <v>1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 t="s">
        <v>138</v>
      </c>
      <c r="B72" s="13" t="s">
        <v>159</v>
      </c>
      <c r="C72" s="14">
        <v>741.36</v>
      </c>
      <c r="D72" s="13">
        <f>SUMIFS(Entrada!D:D,Entrada!B:B,A72)</f>
        <v>131</v>
      </c>
      <c r="E72" s="13">
        <f>SUMIFS(Saida!D:D,Saida!B:B,A72)</f>
        <v>197</v>
      </c>
      <c r="F72" s="13">
        <f t="shared" si="6"/>
        <v>-66</v>
      </c>
      <c r="G72" s="15">
        <f t="shared" si="2"/>
        <v>-48929.76</v>
      </c>
      <c r="H72" s="13" t="str">
        <f t="shared" si="3"/>
        <v>estoque negativo</v>
      </c>
      <c r="I72" s="13" t="str">
        <f t="shared" si="4"/>
        <v>Estoque Negativo</v>
      </c>
      <c r="J72" s="13" t="b">
        <f t="shared" si="5"/>
        <v>1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 t="s">
        <v>49</v>
      </c>
      <c r="B73" s="13" t="s">
        <v>170</v>
      </c>
      <c r="C73" s="14">
        <v>89.57</v>
      </c>
      <c r="D73" s="13">
        <f>SUMIFS(Entrada!D:D,Entrada!B:B,A73)</f>
        <v>404</v>
      </c>
      <c r="E73" s="13">
        <f>SUMIFS(Saida!D:D,Saida!B:B,A73)</f>
        <v>208</v>
      </c>
      <c r="F73" s="13">
        <f t="shared" si="6"/>
        <v>196</v>
      </c>
      <c r="G73" s="15">
        <f t="shared" si="2"/>
        <v>17555.72</v>
      </c>
      <c r="H73" s="13" t="str">
        <f t="shared" si="3"/>
        <v>excesso</v>
      </c>
      <c r="I73" s="13" t="str">
        <f t="shared" si="4"/>
        <v>Excesso</v>
      </c>
      <c r="J73" s="13" t="b">
        <f t="shared" si="5"/>
        <v>1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 t="s">
        <v>42</v>
      </c>
      <c r="B74" s="13" t="s">
        <v>159</v>
      </c>
      <c r="C74" s="14">
        <v>560.16</v>
      </c>
      <c r="D74" s="13">
        <f>SUMIFS(Entrada!D:D,Entrada!B:B,A74)</f>
        <v>495</v>
      </c>
      <c r="E74" s="13">
        <f>SUMIFS(Saida!D:D,Saida!B:B,A74)</f>
        <v>201</v>
      </c>
      <c r="F74" s="13">
        <f t="shared" si="6"/>
        <v>294</v>
      </c>
      <c r="G74" s="15">
        <f t="shared" si="2"/>
        <v>164687.04</v>
      </c>
      <c r="H74" s="13" t="str">
        <f t="shared" si="3"/>
        <v>excesso</v>
      </c>
      <c r="I74" s="13" t="str">
        <f t="shared" si="4"/>
        <v>Excesso</v>
      </c>
      <c r="J74" s="13" t="b">
        <f t="shared" si="5"/>
        <v>1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 t="s">
        <v>140</v>
      </c>
      <c r="B75" s="13" t="s">
        <v>170</v>
      </c>
      <c r="C75" s="14">
        <v>306.18</v>
      </c>
      <c r="D75" s="13">
        <f>SUMIFS(Entrada!D:D,Entrada!B:B,A75)</f>
        <v>8</v>
      </c>
      <c r="E75" s="13">
        <f>SUMIFS(Saida!D:D,Saida!B:B,A75)</f>
        <v>215</v>
      </c>
      <c r="F75" s="13">
        <f t="shared" si="6"/>
        <v>-207</v>
      </c>
      <c r="G75" s="15">
        <f t="shared" si="2"/>
        <v>-63379.26</v>
      </c>
      <c r="H75" s="13" t="str">
        <f t="shared" si="3"/>
        <v>estoque negativo</v>
      </c>
      <c r="I75" s="13" t="str">
        <f t="shared" si="4"/>
        <v>Estoque Negativo</v>
      </c>
      <c r="J75" s="13" t="b">
        <f t="shared" si="5"/>
        <v>1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 t="s">
        <v>58</v>
      </c>
      <c r="B76" s="13" t="s">
        <v>162</v>
      </c>
      <c r="C76" s="14">
        <v>499.23</v>
      </c>
      <c r="D76" s="13">
        <f>SUMIFS(Entrada!D:D,Entrada!B:B,A76)</f>
        <v>475</v>
      </c>
      <c r="E76" s="13">
        <f>SUMIFS(Saida!D:D,Saida!B:B,A76)</f>
        <v>112</v>
      </c>
      <c r="F76" s="13">
        <f t="shared" si="6"/>
        <v>363</v>
      </c>
      <c r="G76" s="15">
        <f t="shared" si="2"/>
        <v>181220.49</v>
      </c>
      <c r="H76" s="13" t="str">
        <f t="shared" si="3"/>
        <v>excesso</v>
      </c>
      <c r="I76" s="13" t="str">
        <f t="shared" si="4"/>
        <v>Excesso</v>
      </c>
      <c r="J76" s="13" t="b">
        <f t="shared" si="5"/>
        <v>1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 t="s">
        <v>77</v>
      </c>
      <c r="B77" s="13" t="s">
        <v>164</v>
      </c>
      <c r="C77" s="14">
        <v>833.87</v>
      </c>
      <c r="D77" s="13">
        <f>SUMIFS(Entrada!D:D,Entrada!B:B,A77)</f>
        <v>424</v>
      </c>
      <c r="E77" s="13">
        <f>SUMIFS(Saida!D:D,Saida!B:B,A77)</f>
        <v>232</v>
      </c>
      <c r="F77" s="13">
        <f t="shared" si="6"/>
        <v>192</v>
      </c>
      <c r="G77" s="15">
        <f t="shared" si="2"/>
        <v>160103.04</v>
      </c>
      <c r="H77" s="13" t="str">
        <f t="shared" si="3"/>
        <v>excesso</v>
      </c>
      <c r="I77" s="13" t="str">
        <f t="shared" si="4"/>
        <v>Excesso</v>
      </c>
      <c r="J77" s="13" t="b">
        <f t="shared" si="5"/>
        <v>1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 t="s">
        <v>94</v>
      </c>
      <c r="B78" s="13" t="s">
        <v>159</v>
      </c>
      <c r="C78" s="14">
        <v>280.29</v>
      </c>
      <c r="D78" s="13">
        <f>SUMIFS(Entrada!D:D,Entrada!B:B,A78)</f>
        <v>126</v>
      </c>
      <c r="E78" s="13">
        <f>SUMIFS(Saida!D:D,Saida!B:B,A78)</f>
        <v>172</v>
      </c>
      <c r="F78" s="13">
        <f t="shared" si="6"/>
        <v>-46</v>
      </c>
      <c r="G78" s="15">
        <f t="shared" si="2"/>
        <v>-12893.34</v>
      </c>
      <c r="H78" s="13" t="str">
        <f t="shared" si="3"/>
        <v>estoque negativo</v>
      </c>
      <c r="I78" s="13" t="str">
        <f t="shared" si="4"/>
        <v>Estoque Negativo</v>
      </c>
      <c r="J78" s="13" t="b">
        <f t="shared" si="5"/>
        <v>1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 t="s">
        <v>83</v>
      </c>
      <c r="B79" s="13" t="s">
        <v>159</v>
      </c>
      <c r="C79" s="14">
        <v>818.42</v>
      </c>
      <c r="D79" s="13">
        <f>SUMIFS(Entrada!D:D,Entrada!B:B,A79)</f>
        <v>410</v>
      </c>
      <c r="E79" s="13">
        <f>SUMIFS(Saida!D:D,Saida!B:B,A79)</f>
        <v>154</v>
      </c>
      <c r="F79" s="13">
        <f t="shared" si="6"/>
        <v>256</v>
      </c>
      <c r="G79" s="15">
        <f t="shared" si="2"/>
        <v>209515.52</v>
      </c>
      <c r="H79" s="13" t="str">
        <f t="shared" si="3"/>
        <v>excesso</v>
      </c>
      <c r="I79" s="13" t="str">
        <f t="shared" si="4"/>
        <v>Excesso</v>
      </c>
      <c r="J79" s="13" t="b">
        <f t="shared" si="5"/>
        <v>1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 t="s">
        <v>111</v>
      </c>
      <c r="B80" s="13" t="s">
        <v>154</v>
      </c>
      <c r="C80" s="14">
        <v>830.71</v>
      </c>
      <c r="D80" s="13">
        <f>SUMIFS(Entrada!D:D,Entrada!B:B,A80)</f>
        <v>193</v>
      </c>
      <c r="E80" s="13">
        <f>SUMIFS(Saida!D:D,Saida!B:B,A80)</f>
        <v>74</v>
      </c>
      <c r="F80" s="13">
        <f t="shared" si="6"/>
        <v>119</v>
      </c>
      <c r="G80" s="15">
        <f t="shared" si="2"/>
        <v>98854.49</v>
      </c>
      <c r="H80" s="13" t="str">
        <f t="shared" si="3"/>
        <v>excesso</v>
      </c>
      <c r="I80" s="13" t="str">
        <f t="shared" si="4"/>
        <v>Excesso</v>
      </c>
      <c r="J80" s="13" t="b">
        <f t="shared" si="5"/>
        <v>1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 t="s">
        <v>103</v>
      </c>
      <c r="B81" s="13" t="s">
        <v>154</v>
      </c>
      <c r="C81" s="14">
        <v>306.2</v>
      </c>
      <c r="D81" s="13">
        <f>SUMIFS(Entrada!D:D,Entrada!B:B,A81)</f>
        <v>447</v>
      </c>
      <c r="E81" s="13">
        <f>SUMIFS(Saida!D:D,Saida!B:B,A81)</f>
        <v>131</v>
      </c>
      <c r="F81" s="13">
        <f t="shared" si="6"/>
        <v>316</v>
      </c>
      <c r="G81" s="15">
        <f t="shared" si="2"/>
        <v>96759.2</v>
      </c>
      <c r="H81" s="13" t="str">
        <f t="shared" si="3"/>
        <v>excesso</v>
      </c>
      <c r="I81" s="13" t="str">
        <f t="shared" si="4"/>
        <v>Excesso</v>
      </c>
      <c r="J81" s="13" t="b">
        <f t="shared" si="5"/>
        <v>1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 t="s">
        <v>51</v>
      </c>
      <c r="B82" s="13" t="s">
        <v>170</v>
      </c>
      <c r="C82" s="14">
        <v>576.61</v>
      </c>
      <c r="D82" s="13">
        <f>SUMIFS(Entrada!D:D,Entrada!B:B,A82)</f>
        <v>698</v>
      </c>
      <c r="E82" s="13">
        <f>SUMIFS(Saida!D:D,Saida!B:B,A82)</f>
        <v>107</v>
      </c>
      <c r="F82" s="13">
        <f t="shared" si="6"/>
        <v>591</v>
      </c>
      <c r="G82" s="15">
        <f t="shared" si="2"/>
        <v>340776.51</v>
      </c>
      <c r="H82" s="13" t="str">
        <f t="shared" si="3"/>
        <v>excesso</v>
      </c>
      <c r="I82" s="13" t="str">
        <f t="shared" si="4"/>
        <v>Excesso</v>
      </c>
      <c r="J82" s="13" t="b">
        <f t="shared" si="5"/>
        <v>1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 t="s">
        <v>74</v>
      </c>
      <c r="B83" s="13" t="s">
        <v>164</v>
      </c>
      <c r="C83" s="14">
        <v>188.01</v>
      </c>
      <c r="D83" s="13">
        <f>SUMIFS(Entrada!D:D,Entrada!B:B,A83)</f>
        <v>310</v>
      </c>
      <c r="E83" s="13">
        <f>SUMIFS(Saida!D:D,Saida!B:B,A83)</f>
        <v>207</v>
      </c>
      <c r="F83" s="13">
        <f t="shared" si="6"/>
        <v>103</v>
      </c>
      <c r="G83" s="15">
        <f t="shared" si="2"/>
        <v>19365.03</v>
      </c>
      <c r="H83" s="13" t="str">
        <f t="shared" si="3"/>
        <v>excesso</v>
      </c>
      <c r="I83" s="13" t="str">
        <f t="shared" si="4"/>
        <v>Excesso</v>
      </c>
      <c r="J83" s="13" t="b">
        <f t="shared" si="5"/>
        <v>1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 t="s">
        <v>33</v>
      </c>
      <c r="B84" s="13" t="s">
        <v>164</v>
      </c>
      <c r="C84" s="14">
        <v>401.23</v>
      </c>
      <c r="D84" s="13">
        <f>SUMIFS(Entrada!D:D,Entrada!B:B,A84)</f>
        <v>303</v>
      </c>
      <c r="E84" s="13">
        <f>SUMIFS(Saida!D:D,Saida!B:B,A84)</f>
        <v>13</v>
      </c>
      <c r="F84" s="13">
        <f t="shared" si="6"/>
        <v>290</v>
      </c>
      <c r="G84" s="15">
        <f t="shared" si="2"/>
        <v>116356.7</v>
      </c>
      <c r="H84" s="13" t="str">
        <f t="shared" si="3"/>
        <v>excesso</v>
      </c>
      <c r="I84" s="13" t="str">
        <f t="shared" si="4"/>
        <v>Excesso</v>
      </c>
      <c r="J84" s="13" t="b">
        <f t="shared" si="5"/>
        <v>1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 t="s">
        <v>128</v>
      </c>
      <c r="B85" s="13" t="s">
        <v>156</v>
      </c>
      <c r="C85" s="14">
        <v>811.47</v>
      </c>
      <c r="D85" s="13">
        <f>SUMIFS(Entrada!D:D,Entrada!B:B,A85)</f>
        <v>257</v>
      </c>
      <c r="E85" s="13">
        <f>SUMIFS(Saida!D:D,Saida!B:B,A85)</f>
        <v>196</v>
      </c>
      <c r="F85" s="13">
        <f t="shared" si="6"/>
        <v>61</v>
      </c>
      <c r="G85" s="15">
        <f t="shared" si="2"/>
        <v>49499.67</v>
      </c>
      <c r="H85" s="13" t="str">
        <f t="shared" si="3"/>
        <v>ok</v>
      </c>
      <c r="I85" s="13" t="str">
        <f t="shared" si="4"/>
        <v>OK</v>
      </c>
      <c r="J85" s="13" t="b">
        <f t="shared" si="5"/>
        <v>1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 t="s">
        <v>104</v>
      </c>
      <c r="B86" s="13" t="s">
        <v>162</v>
      </c>
      <c r="C86" s="14">
        <v>447.66</v>
      </c>
      <c r="D86" s="13">
        <f>SUMIFS(Entrada!D:D,Entrada!B:B,A86)</f>
        <v>353</v>
      </c>
      <c r="E86" s="13">
        <f>SUMIFS(Saida!D:D,Saida!B:B,A86)</f>
        <v>159</v>
      </c>
      <c r="F86" s="13">
        <f t="shared" si="6"/>
        <v>194</v>
      </c>
      <c r="G86" s="15">
        <f t="shared" si="2"/>
        <v>86846.04</v>
      </c>
      <c r="H86" s="13" t="str">
        <f t="shared" si="3"/>
        <v>excesso</v>
      </c>
      <c r="I86" s="13" t="str">
        <f t="shared" si="4"/>
        <v>Excesso</v>
      </c>
      <c r="J86" s="13" t="b">
        <f t="shared" si="5"/>
        <v>1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 t="s">
        <v>93</v>
      </c>
      <c r="B87" s="13" t="s">
        <v>156</v>
      </c>
      <c r="C87" s="14">
        <v>670.72</v>
      </c>
      <c r="D87" s="13">
        <f>SUMIFS(Entrada!D:D,Entrada!B:B,A87)</f>
        <v>552</v>
      </c>
      <c r="E87" s="13">
        <f>SUMIFS(Saida!D:D,Saida!B:B,A87)</f>
        <v>316</v>
      </c>
      <c r="F87" s="13">
        <f t="shared" si="6"/>
        <v>236</v>
      </c>
      <c r="G87" s="15">
        <f t="shared" si="2"/>
        <v>158289.92</v>
      </c>
      <c r="H87" s="13" t="str">
        <f t="shared" si="3"/>
        <v>excesso</v>
      </c>
      <c r="I87" s="13" t="str">
        <f t="shared" si="4"/>
        <v>Excesso</v>
      </c>
      <c r="J87" s="13" t="b">
        <f t="shared" si="5"/>
        <v>1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 t="s">
        <v>132</v>
      </c>
      <c r="B88" s="13" t="s">
        <v>156</v>
      </c>
      <c r="C88" s="14">
        <v>302.34</v>
      </c>
      <c r="D88" s="13">
        <f>SUMIFS(Entrada!D:D,Entrada!B:B,A88)</f>
        <v>439</v>
      </c>
      <c r="E88" s="13">
        <f>SUMIFS(Saida!D:D,Saida!B:B,A88)</f>
        <v>147</v>
      </c>
      <c r="F88" s="13">
        <f t="shared" si="6"/>
        <v>292</v>
      </c>
      <c r="G88" s="15">
        <f t="shared" si="2"/>
        <v>88283.28</v>
      </c>
      <c r="H88" s="13" t="str">
        <f t="shared" si="3"/>
        <v>excesso</v>
      </c>
      <c r="I88" s="13" t="str">
        <f t="shared" si="4"/>
        <v>Excesso</v>
      </c>
      <c r="J88" s="13" t="b">
        <f t="shared" si="5"/>
        <v>1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 t="s">
        <v>80</v>
      </c>
      <c r="B89" s="13" t="s">
        <v>152</v>
      </c>
      <c r="C89" s="14">
        <v>658.98</v>
      </c>
      <c r="D89" s="13">
        <f>SUMIFS(Entrada!D:D,Entrada!B:B,A89)</f>
        <v>45</v>
      </c>
      <c r="E89" s="13">
        <f>SUMIFS(Saida!D:D,Saida!B:B,A89)</f>
        <v>205</v>
      </c>
      <c r="F89" s="13">
        <f t="shared" si="6"/>
        <v>-160</v>
      </c>
      <c r="G89" s="15">
        <f t="shared" si="2"/>
        <v>-105436.8</v>
      </c>
      <c r="H89" s="13" t="str">
        <f t="shared" si="3"/>
        <v>estoque negativo</v>
      </c>
      <c r="I89" s="13" t="str">
        <f t="shared" si="4"/>
        <v>Estoque Negativo</v>
      </c>
      <c r="J89" s="13" t="b">
        <f t="shared" si="5"/>
        <v>1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 t="s">
        <v>61</v>
      </c>
      <c r="B90" s="13" t="s">
        <v>162</v>
      </c>
      <c r="C90" s="14">
        <v>294.33</v>
      </c>
      <c r="D90" s="13">
        <f>SUMIFS(Entrada!D:D,Entrada!B:B,A90)</f>
        <v>799</v>
      </c>
      <c r="E90" s="13">
        <f>SUMIFS(Saida!D:D,Saida!B:B,A90)</f>
        <v>18</v>
      </c>
      <c r="F90" s="13">
        <f t="shared" si="6"/>
        <v>781</v>
      </c>
      <c r="G90" s="15">
        <f t="shared" si="2"/>
        <v>229871.73</v>
      </c>
      <c r="H90" s="13" t="str">
        <f t="shared" si="3"/>
        <v>excesso</v>
      </c>
      <c r="I90" s="13" t="str">
        <f t="shared" si="4"/>
        <v>Excesso</v>
      </c>
      <c r="J90" s="13" t="b">
        <f t="shared" si="5"/>
        <v>1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 t="s">
        <v>141</v>
      </c>
      <c r="B91" s="13" t="s">
        <v>156</v>
      </c>
      <c r="C91" s="14">
        <v>499.44</v>
      </c>
      <c r="D91" s="13">
        <f>SUMIFS(Entrada!D:D,Entrada!B:B,A91)</f>
        <v>0</v>
      </c>
      <c r="E91" s="13">
        <f>SUMIFS(Saida!D:D,Saida!B:B,A91)</f>
        <v>277</v>
      </c>
      <c r="F91" s="13">
        <f t="shared" si="6"/>
        <v>-277</v>
      </c>
      <c r="G91" s="15">
        <f t="shared" si="2"/>
        <v>-138344.88</v>
      </c>
      <c r="H91" s="13" t="str">
        <f t="shared" si="3"/>
        <v>estoque negativo</v>
      </c>
      <c r="I91" s="13" t="str">
        <f t="shared" si="4"/>
        <v>Estoque Negativo</v>
      </c>
      <c r="J91" s="13" t="b">
        <f t="shared" si="5"/>
        <v>1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 t="s">
        <v>18</v>
      </c>
      <c r="B92" s="13" t="s">
        <v>156</v>
      </c>
      <c r="C92" s="14">
        <v>787.03</v>
      </c>
      <c r="D92" s="13">
        <f>SUMIFS(Entrada!D:D,Entrada!B:B,A92)</f>
        <v>356</v>
      </c>
      <c r="E92" s="13">
        <f>SUMIFS(Saida!D:D,Saida!B:B,A92)</f>
        <v>169</v>
      </c>
      <c r="F92" s="13">
        <f t="shared" si="6"/>
        <v>187</v>
      </c>
      <c r="G92" s="15">
        <f t="shared" si="2"/>
        <v>147174.61</v>
      </c>
      <c r="H92" s="13" t="str">
        <f t="shared" si="3"/>
        <v>excesso</v>
      </c>
      <c r="I92" s="13" t="str">
        <f t="shared" si="4"/>
        <v>Excesso</v>
      </c>
      <c r="J92" s="13" t="b">
        <f t="shared" si="5"/>
        <v>1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 t="s">
        <v>46</v>
      </c>
      <c r="B93" s="13" t="s">
        <v>154</v>
      </c>
      <c r="C93" s="14">
        <v>806.69</v>
      </c>
      <c r="D93" s="13">
        <f>SUMIFS(Entrada!D:D,Entrada!B:B,A93)</f>
        <v>355</v>
      </c>
      <c r="E93" s="13">
        <f>SUMIFS(Saida!D:D,Saida!B:B,A93)</f>
        <v>196</v>
      </c>
      <c r="F93" s="13">
        <f t="shared" si="6"/>
        <v>159</v>
      </c>
      <c r="G93" s="15">
        <f t="shared" si="2"/>
        <v>128263.71</v>
      </c>
      <c r="H93" s="13" t="str">
        <f t="shared" si="3"/>
        <v>excesso</v>
      </c>
      <c r="I93" s="13" t="str">
        <f t="shared" si="4"/>
        <v>Excesso</v>
      </c>
      <c r="J93" s="13" t="b">
        <f t="shared" si="5"/>
        <v>1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 t="s">
        <v>124</v>
      </c>
      <c r="B94" s="13" t="s">
        <v>159</v>
      </c>
      <c r="C94" s="14">
        <v>334.38</v>
      </c>
      <c r="D94" s="13">
        <f>SUMIFS(Entrada!D:D,Entrada!B:B,A94)</f>
        <v>222</v>
      </c>
      <c r="E94" s="13">
        <f>SUMIFS(Saida!D:D,Saida!B:B,A94)</f>
        <v>297</v>
      </c>
      <c r="F94" s="13">
        <f t="shared" si="6"/>
        <v>-75</v>
      </c>
      <c r="G94" s="15">
        <f t="shared" si="2"/>
        <v>-25078.5</v>
      </c>
      <c r="H94" s="13" t="str">
        <f t="shared" si="3"/>
        <v>estoque negativo</v>
      </c>
      <c r="I94" s="13" t="str">
        <f t="shared" si="4"/>
        <v>Estoque Negativo</v>
      </c>
      <c r="J94" s="13" t="b">
        <f t="shared" si="5"/>
        <v>1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 t="s">
        <v>143</v>
      </c>
      <c r="B95" s="13" t="s">
        <v>159</v>
      </c>
      <c r="C95" s="14">
        <v>912.84</v>
      </c>
      <c r="D95" s="13">
        <f>SUMIFS(Entrada!D:D,Entrada!B:B,A95)</f>
        <v>0</v>
      </c>
      <c r="E95" s="13">
        <f>SUMIFS(Saida!D:D,Saida!B:B,A95)</f>
        <v>51</v>
      </c>
      <c r="F95" s="13">
        <f t="shared" si="6"/>
        <v>-51</v>
      </c>
      <c r="G95" s="15">
        <f t="shared" si="2"/>
        <v>-46554.84</v>
      </c>
      <c r="H95" s="13" t="str">
        <f t="shared" si="3"/>
        <v>estoque negativo</v>
      </c>
      <c r="I95" s="13" t="str">
        <f t="shared" si="4"/>
        <v>Estoque Negativo</v>
      </c>
      <c r="J95" s="13" t="b">
        <f t="shared" si="5"/>
        <v>1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 t="s">
        <v>48</v>
      </c>
      <c r="B96" s="13" t="s">
        <v>164</v>
      </c>
      <c r="C96" s="14">
        <v>349.59</v>
      </c>
      <c r="D96" s="13">
        <f>SUMIFS(Entrada!D:D,Entrada!B:B,A96)</f>
        <v>335</v>
      </c>
      <c r="E96" s="13">
        <f>SUMIFS(Saida!D:D,Saida!B:B,A96)</f>
        <v>179</v>
      </c>
      <c r="F96" s="13">
        <f t="shared" si="6"/>
        <v>156</v>
      </c>
      <c r="G96" s="15">
        <f t="shared" si="2"/>
        <v>54536.04</v>
      </c>
      <c r="H96" s="13" t="str">
        <f t="shared" si="3"/>
        <v>excesso</v>
      </c>
      <c r="I96" s="13" t="str">
        <f t="shared" si="4"/>
        <v>Excesso</v>
      </c>
      <c r="J96" s="13" t="b">
        <f t="shared" si="5"/>
        <v>1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 t="s">
        <v>44</v>
      </c>
      <c r="B97" s="13" t="s">
        <v>164</v>
      </c>
      <c r="C97" s="14">
        <v>959.82</v>
      </c>
      <c r="D97" s="13">
        <f>SUMIFS(Entrada!D:D,Entrada!B:B,A97)</f>
        <v>509</v>
      </c>
      <c r="E97" s="13">
        <f>SUMIFS(Saida!D:D,Saida!B:B,A97)</f>
        <v>54</v>
      </c>
      <c r="F97" s="13">
        <f t="shared" si="6"/>
        <v>455</v>
      </c>
      <c r="G97" s="15">
        <f t="shared" si="2"/>
        <v>436718.1</v>
      </c>
      <c r="H97" s="13" t="str">
        <f t="shared" si="3"/>
        <v>excesso</v>
      </c>
      <c r="I97" s="13" t="str">
        <f t="shared" si="4"/>
        <v>Excesso</v>
      </c>
      <c r="J97" s="13" t="b">
        <f t="shared" si="5"/>
        <v>1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 t="s">
        <v>90</v>
      </c>
      <c r="B98" s="13" t="s">
        <v>159</v>
      </c>
      <c r="C98" s="14">
        <v>970.1</v>
      </c>
      <c r="D98" s="13">
        <f>SUMIFS(Entrada!D:D,Entrada!B:B,A98)</f>
        <v>376</v>
      </c>
      <c r="E98" s="13">
        <f>SUMIFS(Saida!D:D,Saida!B:B,A98)</f>
        <v>182</v>
      </c>
      <c r="F98" s="13">
        <f t="shared" si="6"/>
        <v>194</v>
      </c>
      <c r="G98" s="15">
        <f t="shared" si="2"/>
        <v>188199.4</v>
      </c>
      <c r="H98" s="13" t="str">
        <f t="shared" si="3"/>
        <v>excesso</v>
      </c>
      <c r="I98" s="13" t="str">
        <f t="shared" si="4"/>
        <v>Excesso</v>
      </c>
      <c r="J98" s="13" t="b">
        <f t="shared" si="5"/>
        <v>1</v>
      </c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 t="s">
        <v>95</v>
      </c>
      <c r="B99" s="13" t="s">
        <v>156</v>
      </c>
      <c r="C99" s="14">
        <v>950.74</v>
      </c>
      <c r="D99" s="13">
        <f>SUMIFS(Entrada!D:D,Entrada!B:B,A99)</f>
        <v>187</v>
      </c>
      <c r="E99" s="13">
        <f>SUMIFS(Saida!D:D,Saida!B:B,A99)</f>
        <v>64</v>
      </c>
      <c r="F99" s="13">
        <f t="shared" si="6"/>
        <v>123</v>
      </c>
      <c r="G99" s="15">
        <f t="shared" si="2"/>
        <v>116941.02</v>
      </c>
      <c r="H99" s="13" t="str">
        <f t="shared" si="3"/>
        <v>excesso</v>
      </c>
      <c r="I99" s="13" t="str">
        <f t="shared" si="4"/>
        <v>Excesso</v>
      </c>
      <c r="J99" s="13" t="b">
        <f t="shared" si="5"/>
        <v>1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 t="s">
        <v>114</v>
      </c>
      <c r="B100" s="13" t="s">
        <v>156</v>
      </c>
      <c r="C100" s="14">
        <v>405.92</v>
      </c>
      <c r="D100" s="13">
        <f>SUMIFS(Entrada!D:D,Entrada!B:B,A100)</f>
        <v>413</v>
      </c>
      <c r="E100" s="13">
        <f>SUMIFS(Saida!D:D,Saida!B:B,A100)</f>
        <v>132</v>
      </c>
      <c r="F100" s="13">
        <f t="shared" si="6"/>
        <v>281</v>
      </c>
      <c r="G100" s="15">
        <f t="shared" si="2"/>
        <v>114063.52</v>
      </c>
      <c r="H100" s="13" t="str">
        <f t="shared" si="3"/>
        <v>excesso</v>
      </c>
      <c r="I100" s="13" t="str">
        <f t="shared" si="4"/>
        <v>Excesso</v>
      </c>
      <c r="J100" s="13" t="b">
        <f t="shared" si="5"/>
        <v>1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 t="s">
        <v>87</v>
      </c>
      <c r="B101" s="13" t="s">
        <v>159</v>
      </c>
      <c r="C101" s="14">
        <v>510.54</v>
      </c>
      <c r="D101" s="13">
        <f>SUMIFS(Entrada!D:D,Entrada!B:B,A101)</f>
        <v>686</v>
      </c>
      <c r="E101" s="13">
        <f>SUMIFS(Saida!D:D,Saida!B:B,A101)</f>
        <v>205</v>
      </c>
      <c r="F101" s="13">
        <f t="shared" si="6"/>
        <v>481</v>
      </c>
      <c r="G101" s="15">
        <f t="shared" si="2"/>
        <v>245569.74</v>
      </c>
      <c r="H101" s="13" t="str">
        <f t="shared" si="3"/>
        <v>excesso</v>
      </c>
      <c r="I101" s="13" t="str">
        <f t="shared" si="4"/>
        <v>Excesso</v>
      </c>
      <c r="J101" s="13" t="b">
        <f t="shared" si="5"/>
        <v>1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 t="s">
        <v>123</v>
      </c>
      <c r="B102" s="13" t="s">
        <v>164</v>
      </c>
      <c r="C102" s="14">
        <v>950.93</v>
      </c>
      <c r="D102" s="13">
        <f>SUMIFS(Entrada!D:D,Entrada!B:B,A102)</f>
        <v>190</v>
      </c>
      <c r="E102" s="13">
        <f>SUMIFS(Saida!D:D,Saida!B:B,A102)</f>
        <v>213</v>
      </c>
      <c r="F102" s="13">
        <f t="shared" si="6"/>
        <v>-23</v>
      </c>
      <c r="G102" s="15">
        <f t="shared" si="2"/>
        <v>-21871.39</v>
      </c>
      <c r="H102" s="13" t="str">
        <f t="shared" si="3"/>
        <v>estoque negativo</v>
      </c>
      <c r="I102" s="13" t="str">
        <f t="shared" si="4"/>
        <v>Estoque Negativo</v>
      </c>
      <c r="J102" s="13" t="b">
        <f t="shared" si="5"/>
        <v>1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 t="s">
        <v>105</v>
      </c>
      <c r="B103" s="13" t="s">
        <v>162</v>
      </c>
      <c r="C103" s="14">
        <v>676.7</v>
      </c>
      <c r="D103" s="13">
        <f>SUMIFS(Entrada!D:D,Entrada!B:B,A103)</f>
        <v>570</v>
      </c>
      <c r="E103" s="13">
        <f>SUMIFS(Saida!D:D,Saida!B:B,A103)</f>
        <v>152</v>
      </c>
      <c r="F103" s="13">
        <f t="shared" si="6"/>
        <v>418</v>
      </c>
      <c r="G103" s="15">
        <f t="shared" si="2"/>
        <v>282860.6</v>
      </c>
      <c r="H103" s="13" t="str">
        <f t="shared" si="3"/>
        <v>excesso</v>
      </c>
      <c r="I103" s="13" t="str">
        <f t="shared" si="4"/>
        <v>Excesso</v>
      </c>
      <c r="J103" s="13" t="b">
        <f t="shared" si="5"/>
        <v>1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 t="s">
        <v>69</v>
      </c>
      <c r="B104" s="13" t="s">
        <v>170</v>
      </c>
      <c r="C104" s="14">
        <v>383.27</v>
      </c>
      <c r="D104" s="13">
        <f>SUMIFS(Entrada!D:D,Entrada!B:B,A104)</f>
        <v>413</v>
      </c>
      <c r="E104" s="13">
        <f>SUMIFS(Saida!D:D,Saida!B:B,A104)</f>
        <v>274</v>
      </c>
      <c r="F104" s="13">
        <f t="shared" si="6"/>
        <v>139</v>
      </c>
      <c r="G104" s="15">
        <f t="shared" si="2"/>
        <v>53274.53</v>
      </c>
      <c r="H104" s="13" t="str">
        <f t="shared" si="3"/>
        <v>excesso</v>
      </c>
      <c r="I104" s="13" t="str">
        <f t="shared" si="4"/>
        <v>Excesso</v>
      </c>
      <c r="J104" s="13" t="b">
        <f t="shared" si="5"/>
        <v>1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 t="s">
        <v>56</v>
      </c>
      <c r="B105" s="13" t="s">
        <v>159</v>
      </c>
      <c r="C105" s="14">
        <v>597.81</v>
      </c>
      <c r="D105" s="13">
        <f>SUMIFS(Entrada!D:D,Entrada!B:B,A105)</f>
        <v>168</v>
      </c>
      <c r="E105" s="13">
        <f>SUMIFS(Saida!D:D,Saida!B:B,A105)</f>
        <v>239</v>
      </c>
      <c r="F105" s="13">
        <f t="shared" si="6"/>
        <v>-71</v>
      </c>
      <c r="G105" s="15">
        <f t="shared" si="2"/>
        <v>-42444.51</v>
      </c>
      <c r="H105" s="13" t="str">
        <f t="shared" si="3"/>
        <v>estoque negativo</v>
      </c>
      <c r="I105" s="13" t="str">
        <f t="shared" si="4"/>
        <v>Estoque Negativo</v>
      </c>
      <c r="J105" s="13" t="b">
        <f t="shared" si="5"/>
        <v>1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 t="s">
        <v>100</v>
      </c>
      <c r="B106" s="13" t="s">
        <v>170</v>
      </c>
      <c r="C106" s="14">
        <v>549.75</v>
      </c>
      <c r="D106" s="13">
        <f>SUMIFS(Entrada!D:D,Entrada!B:B,A106)</f>
        <v>223</v>
      </c>
      <c r="E106" s="13">
        <f>SUMIFS(Saida!D:D,Saida!B:B,A106)</f>
        <v>0</v>
      </c>
      <c r="F106" s="13">
        <f t="shared" si="6"/>
        <v>223</v>
      </c>
      <c r="G106" s="15">
        <f t="shared" si="2"/>
        <v>122594.25</v>
      </c>
      <c r="H106" s="13" t="str">
        <f t="shared" si="3"/>
        <v>excesso</v>
      </c>
      <c r="I106" s="13" t="str">
        <f t="shared" si="4"/>
        <v>Excesso</v>
      </c>
      <c r="J106" s="13" t="b">
        <f t="shared" si="5"/>
        <v>1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 t="s">
        <v>115</v>
      </c>
      <c r="B107" s="13" t="s">
        <v>154</v>
      </c>
      <c r="C107" s="14">
        <v>576.48</v>
      </c>
      <c r="D107" s="13">
        <f>SUMIFS(Entrada!D:D,Entrada!B:B,A107)</f>
        <v>322</v>
      </c>
      <c r="E107" s="13">
        <f>SUMIFS(Saida!D:D,Saida!B:B,A107)</f>
        <v>158</v>
      </c>
      <c r="F107" s="13">
        <f t="shared" si="6"/>
        <v>164</v>
      </c>
      <c r="G107" s="15">
        <f t="shared" si="2"/>
        <v>94542.72</v>
      </c>
      <c r="H107" s="13" t="str">
        <f t="shared" si="3"/>
        <v>excesso</v>
      </c>
      <c r="I107" s="13" t="str">
        <f t="shared" si="4"/>
        <v>Excesso</v>
      </c>
      <c r="J107" s="13" t="b">
        <f t="shared" si="5"/>
        <v>1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 t="s">
        <v>122</v>
      </c>
      <c r="B108" s="13" t="s">
        <v>162</v>
      </c>
      <c r="C108" s="14">
        <v>931.11</v>
      </c>
      <c r="D108" s="13">
        <f>SUMIFS(Entrada!D:D,Entrada!B:B,A108)</f>
        <v>323</v>
      </c>
      <c r="E108" s="13">
        <f>SUMIFS(Saida!D:D,Saida!B:B,A108)</f>
        <v>104</v>
      </c>
      <c r="F108" s="13">
        <f t="shared" si="6"/>
        <v>219</v>
      </c>
      <c r="G108" s="15">
        <f t="shared" si="2"/>
        <v>203913.09</v>
      </c>
      <c r="H108" s="13" t="str">
        <f t="shared" si="3"/>
        <v>excesso</v>
      </c>
      <c r="I108" s="13" t="str">
        <f t="shared" si="4"/>
        <v>Excesso</v>
      </c>
      <c r="J108" s="13" t="b">
        <f t="shared" si="5"/>
        <v>1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 t="s">
        <v>27</v>
      </c>
      <c r="B109" s="13" t="s">
        <v>170</v>
      </c>
      <c r="C109" s="14">
        <v>967.84</v>
      </c>
      <c r="D109" s="13">
        <f>SUMIFS(Entrada!D:D,Entrada!B:B,A109)</f>
        <v>117</v>
      </c>
      <c r="E109" s="13">
        <f>SUMIFS(Saida!D:D,Saida!B:B,A109)</f>
        <v>0</v>
      </c>
      <c r="F109" s="13">
        <f t="shared" si="6"/>
        <v>117</v>
      </c>
      <c r="G109" s="15">
        <f t="shared" si="2"/>
        <v>113237.28</v>
      </c>
      <c r="H109" s="13" t="str">
        <f t="shared" si="3"/>
        <v>excesso</v>
      </c>
      <c r="I109" s="13" t="str">
        <f t="shared" si="4"/>
        <v>Excesso</v>
      </c>
      <c r="J109" s="13" t="b">
        <f t="shared" si="5"/>
        <v>1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 t="s">
        <v>134</v>
      </c>
      <c r="B110" s="13" t="s">
        <v>162</v>
      </c>
      <c r="C110" s="14">
        <v>682.72</v>
      </c>
      <c r="D110" s="13">
        <f>SUMIFS(Entrada!D:D,Entrada!B:B,A110)</f>
        <v>244</v>
      </c>
      <c r="E110" s="13">
        <f>SUMIFS(Saida!D:D,Saida!B:B,A110)</f>
        <v>94</v>
      </c>
      <c r="F110" s="13">
        <f t="shared" si="6"/>
        <v>150</v>
      </c>
      <c r="G110" s="15">
        <f t="shared" si="2"/>
        <v>102408</v>
      </c>
      <c r="H110" s="13" t="str">
        <f t="shared" si="3"/>
        <v>excesso</v>
      </c>
      <c r="I110" s="13" t="str">
        <f t="shared" si="4"/>
        <v>Excesso</v>
      </c>
      <c r="J110" s="13" t="b">
        <f t="shared" si="5"/>
        <v>1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 t="s">
        <v>86</v>
      </c>
      <c r="B111" s="13" t="s">
        <v>162</v>
      </c>
      <c r="C111" s="14">
        <v>418.89</v>
      </c>
      <c r="D111" s="13">
        <f>SUMIFS(Entrada!D:D,Entrada!B:B,A111)</f>
        <v>196</v>
      </c>
      <c r="E111" s="13">
        <f>SUMIFS(Saida!D:D,Saida!B:B,A111)</f>
        <v>132</v>
      </c>
      <c r="F111" s="13">
        <f t="shared" si="6"/>
        <v>64</v>
      </c>
      <c r="G111" s="15">
        <f t="shared" si="2"/>
        <v>26808.96</v>
      </c>
      <c r="H111" s="13" t="str">
        <f t="shared" si="3"/>
        <v>ok</v>
      </c>
      <c r="I111" s="13" t="str">
        <f t="shared" si="4"/>
        <v>OK</v>
      </c>
      <c r="J111" s="13" t="b">
        <f t="shared" si="5"/>
        <v>1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 t="s">
        <v>102</v>
      </c>
      <c r="B112" s="13" t="s">
        <v>164</v>
      </c>
      <c r="C112" s="14">
        <v>927.57</v>
      </c>
      <c r="D112" s="13">
        <f>SUMIFS(Entrada!D:D,Entrada!B:B,A112)</f>
        <v>203</v>
      </c>
      <c r="E112" s="13">
        <f>SUMIFS(Saida!D:D,Saida!B:B,A112)</f>
        <v>118</v>
      </c>
      <c r="F112" s="13">
        <f t="shared" si="6"/>
        <v>85</v>
      </c>
      <c r="G112" s="15">
        <f t="shared" si="2"/>
        <v>78843.45</v>
      </c>
      <c r="H112" s="13" t="str">
        <f t="shared" si="3"/>
        <v>ok</v>
      </c>
      <c r="I112" s="13" t="str">
        <f t="shared" si="4"/>
        <v>OK</v>
      </c>
      <c r="J112" s="13" t="b">
        <f t="shared" si="5"/>
        <v>1</v>
      </c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 t="s">
        <v>84</v>
      </c>
      <c r="B113" s="13" t="s">
        <v>159</v>
      </c>
      <c r="C113" s="14">
        <v>898.39</v>
      </c>
      <c r="D113" s="13">
        <f>SUMIFS(Entrada!D:D,Entrada!B:B,A113)</f>
        <v>180</v>
      </c>
      <c r="E113" s="13">
        <f>SUMIFS(Saida!D:D,Saida!B:B,A113)</f>
        <v>3</v>
      </c>
      <c r="F113" s="13">
        <f t="shared" si="6"/>
        <v>177</v>
      </c>
      <c r="G113" s="15">
        <f t="shared" si="2"/>
        <v>159015.03</v>
      </c>
      <c r="H113" s="13" t="str">
        <f t="shared" si="3"/>
        <v>excesso</v>
      </c>
      <c r="I113" s="13" t="str">
        <f t="shared" si="4"/>
        <v>Excesso</v>
      </c>
      <c r="J113" s="13" t="b">
        <f t="shared" si="5"/>
        <v>1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 t="s">
        <v>92</v>
      </c>
      <c r="B114" s="13" t="s">
        <v>156</v>
      </c>
      <c r="C114" s="14">
        <v>333.64</v>
      </c>
      <c r="D114" s="13">
        <f>SUMIFS(Entrada!D:D,Entrada!B:B,A114)</f>
        <v>337</v>
      </c>
      <c r="E114" s="13">
        <f>SUMIFS(Saida!D:D,Saida!B:B,A114)</f>
        <v>150</v>
      </c>
      <c r="F114" s="13">
        <f t="shared" si="6"/>
        <v>187</v>
      </c>
      <c r="G114" s="15">
        <f t="shared" si="2"/>
        <v>62390.68</v>
      </c>
      <c r="H114" s="13" t="str">
        <f t="shared" si="3"/>
        <v>excesso</v>
      </c>
      <c r="I114" s="13" t="str">
        <f t="shared" si="4"/>
        <v>Excesso</v>
      </c>
      <c r="J114" s="13" t="b">
        <f t="shared" si="5"/>
        <v>1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 t="s">
        <v>108</v>
      </c>
      <c r="B115" s="13" t="s">
        <v>170</v>
      </c>
      <c r="C115" s="14">
        <v>285.57</v>
      </c>
      <c r="D115" s="13">
        <f>SUMIFS(Entrada!D:D,Entrada!B:B,A115)</f>
        <v>304</v>
      </c>
      <c r="E115" s="13">
        <f>SUMIFS(Saida!D:D,Saida!B:B,A115)</f>
        <v>283</v>
      </c>
      <c r="F115" s="13">
        <f t="shared" si="6"/>
        <v>21</v>
      </c>
      <c r="G115" s="15">
        <f t="shared" si="2"/>
        <v>5996.97</v>
      </c>
      <c r="H115" s="13" t="str">
        <f t="shared" si="3"/>
        <v>ok</v>
      </c>
      <c r="I115" s="13" t="str">
        <f t="shared" si="4"/>
        <v>OK</v>
      </c>
      <c r="J115" s="13" t="b">
        <f t="shared" si="5"/>
        <v>1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 t="s">
        <v>113</v>
      </c>
      <c r="B116" s="13" t="s">
        <v>170</v>
      </c>
      <c r="C116" s="14">
        <v>143.22</v>
      </c>
      <c r="D116" s="13">
        <f>SUMIFS(Entrada!D:D,Entrada!B:B,A116)</f>
        <v>436</v>
      </c>
      <c r="E116" s="13">
        <f>SUMIFS(Saida!D:D,Saida!B:B,A116)</f>
        <v>197</v>
      </c>
      <c r="F116" s="13">
        <f t="shared" si="6"/>
        <v>239</v>
      </c>
      <c r="G116" s="15">
        <f t="shared" si="2"/>
        <v>34229.58</v>
      </c>
      <c r="H116" s="13" t="str">
        <f t="shared" si="3"/>
        <v>excesso</v>
      </c>
      <c r="I116" s="13" t="str">
        <f t="shared" si="4"/>
        <v>Excesso</v>
      </c>
      <c r="J116" s="13" t="b">
        <f t="shared" si="5"/>
        <v>1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 t="s">
        <v>66</v>
      </c>
      <c r="B117" s="13" t="s">
        <v>162</v>
      </c>
      <c r="C117" s="14">
        <v>914.49</v>
      </c>
      <c r="D117" s="13">
        <f>SUMIFS(Entrada!D:D,Entrada!B:B,A117)</f>
        <v>550</v>
      </c>
      <c r="E117" s="13">
        <f>SUMIFS(Saida!D:D,Saida!B:B,A117)</f>
        <v>391</v>
      </c>
      <c r="F117" s="13">
        <f t="shared" si="6"/>
        <v>159</v>
      </c>
      <c r="G117" s="15">
        <f t="shared" si="2"/>
        <v>145403.91</v>
      </c>
      <c r="H117" s="13" t="str">
        <f t="shared" si="3"/>
        <v>excesso</v>
      </c>
      <c r="I117" s="13" t="str">
        <f t="shared" si="4"/>
        <v>Excesso</v>
      </c>
      <c r="J117" s="13" t="b">
        <f t="shared" si="5"/>
        <v>1</v>
      </c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 t="s">
        <v>19</v>
      </c>
      <c r="B118" s="13" t="s">
        <v>159</v>
      </c>
      <c r="C118" s="14">
        <v>546.58</v>
      </c>
      <c r="D118" s="13">
        <f>SUMIFS(Entrada!D:D,Entrada!B:B,A118)</f>
        <v>237</v>
      </c>
      <c r="E118" s="13">
        <f>SUMIFS(Saida!D:D,Saida!B:B,A118)</f>
        <v>462</v>
      </c>
      <c r="F118" s="13">
        <f t="shared" si="6"/>
        <v>-225</v>
      </c>
      <c r="G118" s="15">
        <f t="shared" si="2"/>
        <v>-122980.5</v>
      </c>
      <c r="H118" s="13" t="str">
        <f t="shared" si="3"/>
        <v>estoque negativo</v>
      </c>
      <c r="I118" s="13" t="str">
        <f t="shared" si="4"/>
        <v>Estoque Negativo</v>
      </c>
      <c r="J118" s="13" t="b">
        <f t="shared" si="5"/>
        <v>1</v>
      </c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 t="s">
        <v>131</v>
      </c>
      <c r="B119" s="13" t="s">
        <v>154</v>
      </c>
      <c r="C119" s="14">
        <v>551.52</v>
      </c>
      <c r="D119" s="13">
        <f>SUMIFS(Entrada!D:D,Entrada!B:B,A119)</f>
        <v>313</v>
      </c>
      <c r="E119" s="13">
        <f>SUMIFS(Saida!D:D,Saida!B:B,A119)</f>
        <v>23</v>
      </c>
      <c r="F119" s="13">
        <f t="shared" si="6"/>
        <v>290</v>
      </c>
      <c r="G119" s="15">
        <f t="shared" si="2"/>
        <v>159940.8</v>
      </c>
      <c r="H119" s="13" t="str">
        <f t="shared" si="3"/>
        <v>excesso</v>
      </c>
      <c r="I119" s="13" t="str">
        <f t="shared" si="4"/>
        <v>Excesso</v>
      </c>
      <c r="J119" s="13" t="b">
        <f t="shared" si="5"/>
        <v>1</v>
      </c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 t="s">
        <v>137</v>
      </c>
      <c r="B120" s="13" t="s">
        <v>152</v>
      </c>
      <c r="C120" s="14">
        <v>793.28</v>
      </c>
      <c r="D120" s="13">
        <f>SUMIFS(Entrada!D:D,Entrada!B:B,A120)</f>
        <v>418</v>
      </c>
      <c r="E120" s="13">
        <f>SUMIFS(Saida!D:D,Saida!B:B,A120)</f>
        <v>186</v>
      </c>
      <c r="F120" s="13">
        <f t="shared" si="6"/>
        <v>232</v>
      </c>
      <c r="G120" s="15">
        <f t="shared" si="2"/>
        <v>184040.96</v>
      </c>
      <c r="H120" s="13" t="str">
        <f t="shared" si="3"/>
        <v>excesso</v>
      </c>
      <c r="I120" s="13" t="str">
        <f t="shared" si="4"/>
        <v>Excesso</v>
      </c>
      <c r="J120" s="13" t="b">
        <f t="shared" si="5"/>
        <v>1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 t="s">
        <v>91</v>
      </c>
      <c r="B121" s="13" t="s">
        <v>164</v>
      </c>
      <c r="C121" s="14">
        <v>479.4</v>
      </c>
      <c r="D121" s="13">
        <f>SUMIFS(Entrada!D:D,Entrada!B:B,A121)</f>
        <v>414</v>
      </c>
      <c r="E121" s="13">
        <f>SUMIFS(Saida!D:D,Saida!B:B,A121)</f>
        <v>66</v>
      </c>
      <c r="F121" s="13">
        <f t="shared" si="6"/>
        <v>348</v>
      </c>
      <c r="G121" s="15">
        <f t="shared" si="2"/>
        <v>166831.2</v>
      </c>
      <c r="H121" s="13" t="str">
        <f t="shared" si="3"/>
        <v>excesso</v>
      </c>
      <c r="I121" s="13" t="str">
        <f t="shared" si="4"/>
        <v>Excesso</v>
      </c>
      <c r="J121" s="13" t="b">
        <f t="shared" si="5"/>
        <v>1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4"/>
      <c r="D122" s="13"/>
      <c r="E122" s="13"/>
      <c r="F122" s="13"/>
      <c r="G122" s="14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4"/>
      <c r="D123" s="13"/>
      <c r="E123" s="13"/>
      <c r="F123" s="13"/>
      <c r="G123" s="14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4"/>
      <c r="D124" s="13"/>
      <c r="E124" s="13"/>
      <c r="F124" s="13"/>
      <c r="G124" s="14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4"/>
      <c r="D125" s="13"/>
      <c r="E125" s="13"/>
      <c r="F125" s="13"/>
      <c r="G125" s="14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4"/>
      <c r="D126" s="13"/>
      <c r="E126" s="13"/>
      <c r="F126" s="13"/>
      <c r="G126" s="14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4"/>
      <c r="D127" s="13"/>
      <c r="E127" s="13"/>
      <c r="F127" s="13"/>
      <c r="G127" s="14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4"/>
      <c r="D128" s="13"/>
      <c r="E128" s="13"/>
      <c r="F128" s="13"/>
      <c r="G128" s="14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4"/>
      <c r="D129" s="13"/>
      <c r="E129" s="13"/>
      <c r="F129" s="13"/>
      <c r="G129" s="14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4"/>
      <c r="D130" s="13"/>
      <c r="E130" s="13"/>
      <c r="F130" s="13"/>
      <c r="G130" s="14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4"/>
      <c r="D131" s="13"/>
      <c r="E131" s="13"/>
      <c r="F131" s="13"/>
      <c r="G131" s="14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4"/>
      <c r="D132" s="13"/>
      <c r="E132" s="13"/>
      <c r="F132" s="13"/>
      <c r="G132" s="14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4"/>
      <c r="D133" s="13"/>
      <c r="E133" s="13"/>
      <c r="F133" s="13"/>
      <c r="G133" s="14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4"/>
      <c r="D134" s="13"/>
      <c r="E134" s="13"/>
      <c r="F134" s="13"/>
      <c r="G134" s="14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4"/>
      <c r="D135" s="13"/>
      <c r="E135" s="13"/>
      <c r="F135" s="13"/>
      <c r="G135" s="14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4"/>
      <c r="D136" s="13"/>
      <c r="E136" s="13"/>
      <c r="F136" s="13"/>
      <c r="G136" s="14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4"/>
      <c r="D137" s="13"/>
      <c r="E137" s="13"/>
      <c r="F137" s="13"/>
      <c r="G137" s="14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4"/>
      <c r="D138" s="13"/>
      <c r="E138" s="13"/>
      <c r="F138" s="13"/>
      <c r="G138" s="14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4"/>
      <c r="D139" s="13"/>
      <c r="E139" s="13"/>
      <c r="F139" s="13"/>
      <c r="G139" s="14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4"/>
      <c r="D140" s="13"/>
      <c r="E140" s="13"/>
      <c r="F140" s="13"/>
      <c r="G140" s="14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4"/>
      <c r="D141" s="13"/>
      <c r="E141" s="13"/>
      <c r="F141" s="13"/>
      <c r="G141" s="14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4"/>
      <c r="D142" s="13"/>
      <c r="E142" s="13"/>
      <c r="F142" s="13"/>
      <c r="G142" s="14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4"/>
      <c r="D143" s="13"/>
      <c r="E143" s="13"/>
      <c r="F143" s="13"/>
      <c r="G143" s="14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4"/>
      <c r="D144" s="13"/>
      <c r="E144" s="13"/>
      <c r="F144" s="13"/>
      <c r="G144" s="14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4"/>
      <c r="D145" s="13"/>
      <c r="E145" s="13"/>
      <c r="F145" s="13"/>
      <c r="G145" s="14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4"/>
      <c r="D146" s="13"/>
      <c r="E146" s="13"/>
      <c r="F146" s="13"/>
      <c r="G146" s="14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4"/>
      <c r="D147" s="13"/>
      <c r="E147" s="13"/>
      <c r="F147" s="13"/>
      <c r="G147" s="14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4"/>
      <c r="D148" s="13"/>
      <c r="E148" s="13"/>
      <c r="F148" s="13"/>
      <c r="G148" s="14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4"/>
      <c r="D149" s="13"/>
      <c r="E149" s="13"/>
      <c r="F149" s="13"/>
      <c r="G149" s="14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4"/>
      <c r="D150" s="13"/>
      <c r="E150" s="13"/>
      <c r="F150" s="13"/>
      <c r="G150" s="14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4"/>
      <c r="D151" s="13"/>
      <c r="E151" s="13"/>
      <c r="F151" s="13"/>
      <c r="G151" s="14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4"/>
      <c r="D152" s="13"/>
      <c r="E152" s="13"/>
      <c r="F152" s="13"/>
      <c r="G152" s="14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4"/>
      <c r="D153" s="13"/>
      <c r="E153" s="13"/>
      <c r="F153" s="13"/>
      <c r="G153" s="14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4"/>
      <c r="D154" s="13"/>
      <c r="E154" s="13"/>
      <c r="F154" s="13"/>
      <c r="G154" s="14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4"/>
      <c r="D155" s="13"/>
      <c r="E155" s="13"/>
      <c r="F155" s="13"/>
      <c r="G155" s="14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4"/>
      <c r="D156" s="13"/>
      <c r="E156" s="13"/>
      <c r="F156" s="13"/>
      <c r="G156" s="14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4"/>
      <c r="D157" s="13"/>
      <c r="E157" s="13"/>
      <c r="F157" s="13"/>
      <c r="G157" s="14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4"/>
      <c r="D158" s="13"/>
      <c r="E158" s="13"/>
      <c r="F158" s="13"/>
      <c r="G158" s="14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4"/>
      <c r="D159" s="13"/>
      <c r="E159" s="13"/>
      <c r="F159" s="13"/>
      <c r="G159" s="14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4"/>
      <c r="D160" s="13"/>
      <c r="E160" s="13"/>
      <c r="F160" s="13"/>
      <c r="G160" s="14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4"/>
      <c r="D161" s="13"/>
      <c r="E161" s="13"/>
      <c r="F161" s="13"/>
      <c r="G161" s="14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4"/>
      <c r="D162" s="13"/>
      <c r="E162" s="13"/>
      <c r="F162" s="13"/>
      <c r="G162" s="14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4"/>
      <c r="D163" s="13"/>
      <c r="E163" s="13"/>
      <c r="F163" s="13"/>
      <c r="G163" s="14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4"/>
      <c r="D164" s="13"/>
      <c r="E164" s="13"/>
      <c r="F164" s="13"/>
      <c r="G164" s="14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4"/>
      <c r="D165" s="13"/>
      <c r="E165" s="13"/>
      <c r="F165" s="13"/>
      <c r="G165" s="14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4"/>
      <c r="D166" s="13"/>
      <c r="E166" s="13"/>
      <c r="F166" s="13"/>
      <c r="G166" s="14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4"/>
      <c r="D167" s="13"/>
      <c r="E167" s="13"/>
      <c r="F167" s="13"/>
      <c r="G167" s="14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4"/>
      <c r="D168" s="13"/>
      <c r="E168" s="13"/>
      <c r="F168" s="13"/>
      <c r="G168" s="14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4"/>
      <c r="D169" s="13"/>
      <c r="E169" s="13"/>
      <c r="F169" s="13"/>
      <c r="G169" s="14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4"/>
      <c r="D170" s="13"/>
      <c r="E170" s="13"/>
      <c r="F170" s="13"/>
      <c r="G170" s="14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4"/>
      <c r="D171" s="13"/>
      <c r="E171" s="13"/>
      <c r="F171" s="13"/>
      <c r="G171" s="14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4"/>
      <c r="D172" s="13"/>
      <c r="E172" s="13"/>
      <c r="F172" s="13"/>
      <c r="G172" s="14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4"/>
      <c r="D173" s="13"/>
      <c r="E173" s="13"/>
      <c r="F173" s="13"/>
      <c r="G173" s="14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4"/>
      <c r="D174" s="13"/>
      <c r="E174" s="13"/>
      <c r="F174" s="13"/>
      <c r="G174" s="14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4"/>
      <c r="D175" s="13"/>
      <c r="E175" s="13"/>
      <c r="F175" s="13"/>
      <c r="G175" s="14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4"/>
      <c r="D176" s="13"/>
      <c r="E176" s="13"/>
      <c r="F176" s="13"/>
      <c r="G176" s="14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4"/>
      <c r="D177" s="13"/>
      <c r="E177" s="13"/>
      <c r="F177" s="13"/>
      <c r="G177" s="14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4"/>
      <c r="D178" s="13"/>
      <c r="E178" s="13"/>
      <c r="F178" s="13"/>
      <c r="G178" s="14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4"/>
      <c r="D179" s="13"/>
      <c r="E179" s="13"/>
      <c r="F179" s="13"/>
      <c r="G179" s="14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4"/>
      <c r="D180" s="13"/>
      <c r="E180" s="13"/>
      <c r="F180" s="13"/>
      <c r="G180" s="14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4"/>
      <c r="D181" s="13"/>
      <c r="E181" s="13"/>
      <c r="F181" s="13"/>
      <c r="G181" s="14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4"/>
      <c r="D182" s="13"/>
      <c r="E182" s="13"/>
      <c r="F182" s="13"/>
      <c r="G182" s="14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4"/>
      <c r="D183" s="13"/>
      <c r="E183" s="13"/>
      <c r="F183" s="13"/>
      <c r="G183" s="14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4"/>
      <c r="D184" s="13"/>
      <c r="E184" s="13"/>
      <c r="F184" s="13"/>
      <c r="G184" s="14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4"/>
      <c r="D185" s="13"/>
      <c r="E185" s="13"/>
      <c r="F185" s="13"/>
      <c r="G185" s="14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4"/>
      <c r="D186" s="13"/>
      <c r="E186" s="13"/>
      <c r="F186" s="13"/>
      <c r="G186" s="14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4"/>
      <c r="D187" s="13"/>
      <c r="E187" s="13"/>
      <c r="F187" s="13"/>
      <c r="G187" s="14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4"/>
      <c r="D188" s="13"/>
      <c r="E188" s="13"/>
      <c r="F188" s="13"/>
      <c r="G188" s="14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4"/>
      <c r="D189" s="13"/>
      <c r="E189" s="13"/>
      <c r="F189" s="13"/>
      <c r="G189" s="14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4"/>
      <c r="D190" s="13"/>
      <c r="E190" s="13"/>
      <c r="F190" s="13"/>
      <c r="G190" s="14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4"/>
      <c r="D191" s="13"/>
      <c r="E191" s="13"/>
      <c r="F191" s="13"/>
      <c r="G191" s="14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4"/>
      <c r="D192" s="13"/>
      <c r="E192" s="13"/>
      <c r="F192" s="13"/>
      <c r="G192" s="14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4"/>
      <c r="D193" s="13"/>
      <c r="E193" s="13"/>
      <c r="F193" s="13"/>
      <c r="G193" s="14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4"/>
      <c r="D194" s="13"/>
      <c r="E194" s="13"/>
      <c r="F194" s="13"/>
      <c r="G194" s="14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4"/>
      <c r="D195" s="13"/>
      <c r="E195" s="13"/>
      <c r="F195" s="13"/>
      <c r="G195" s="14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4"/>
      <c r="D196" s="13"/>
      <c r="E196" s="13"/>
      <c r="F196" s="13"/>
      <c r="G196" s="14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4"/>
      <c r="D197" s="13"/>
      <c r="E197" s="13"/>
      <c r="F197" s="13"/>
      <c r="G197" s="14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4"/>
      <c r="D198" s="13"/>
      <c r="E198" s="13"/>
      <c r="F198" s="13"/>
      <c r="G198" s="14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4"/>
      <c r="D199" s="13"/>
      <c r="E199" s="13"/>
      <c r="F199" s="13"/>
      <c r="G199" s="14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4"/>
      <c r="D200" s="13"/>
      <c r="E200" s="13"/>
      <c r="F200" s="13"/>
      <c r="G200" s="14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4"/>
      <c r="D201" s="13"/>
      <c r="E201" s="13"/>
      <c r="F201" s="13"/>
      <c r="G201" s="14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4"/>
      <c r="D202" s="13"/>
      <c r="E202" s="13"/>
      <c r="F202" s="13"/>
      <c r="G202" s="14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4"/>
      <c r="D203" s="13"/>
      <c r="E203" s="13"/>
      <c r="F203" s="13"/>
      <c r="G203" s="14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4"/>
      <c r="D204" s="13"/>
      <c r="E204" s="13"/>
      <c r="F204" s="13"/>
      <c r="G204" s="14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4"/>
      <c r="D205" s="13"/>
      <c r="E205" s="13"/>
      <c r="F205" s="13"/>
      <c r="G205" s="14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4"/>
      <c r="D206" s="13"/>
      <c r="E206" s="13"/>
      <c r="F206" s="13"/>
      <c r="G206" s="14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4"/>
      <c r="D207" s="13"/>
      <c r="E207" s="13"/>
      <c r="F207" s="13"/>
      <c r="G207" s="14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4"/>
      <c r="D208" s="13"/>
      <c r="E208" s="13"/>
      <c r="F208" s="13"/>
      <c r="G208" s="14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4"/>
      <c r="D209" s="13"/>
      <c r="E209" s="13"/>
      <c r="F209" s="13"/>
      <c r="G209" s="14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4"/>
      <c r="D210" s="13"/>
      <c r="E210" s="13"/>
      <c r="F210" s="13"/>
      <c r="G210" s="14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4"/>
      <c r="D211" s="13"/>
      <c r="E211" s="13"/>
      <c r="F211" s="13"/>
      <c r="G211" s="14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4"/>
      <c r="D212" s="13"/>
      <c r="E212" s="13"/>
      <c r="F212" s="13"/>
      <c r="G212" s="14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4"/>
      <c r="D213" s="13"/>
      <c r="E213" s="13"/>
      <c r="F213" s="13"/>
      <c r="G213" s="14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4"/>
      <c r="D214" s="13"/>
      <c r="E214" s="13"/>
      <c r="F214" s="13"/>
      <c r="G214" s="14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4"/>
      <c r="D215" s="13"/>
      <c r="E215" s="13"/>
      <c r="F215" s="13"/>
      <c r="G215" s="14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4"/>
      <c r="D216" s="13"/>
      <c r="E216" s="13"/>
      <c r="F216" s="13"/>
      <c r="G216" s="14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4"/>
      <c r="D217" s="13"/>
      <c r="E217" s="13"/>
      <c r="F217" s="13"/>
      <c r="G217" s="14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4"/>
      <c r="D218" s="13"/>
      <c r="E218" s="13"/>
      <c r="F218" s="13"/>
      <c r="G218" s="14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4"/>
      <c r="D219" s="13"/>
      <c r="E219" s="13"/>
      <c r="F219" s="13"/>
      <c r="G219" s="14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4"/>
      <c r="D220" s="13"/>
      <c r="E220" s="13"/>
      <c r="F220" s="13"/>
      <c r="G220" s="14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4"/>
      <c r="D221" s="13"/>
      <c r="E221" s="13"/>
      <c r="F221" s="13"/>
      <c r="G221" s="14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4"/>
      <c r="D222" s="13"/>
      <c r="E222" s="13"/>
      <c r="F222" s="13"/>
      <c r="G222" s="14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4"/>
      <c r="D223" s="13"/>
      <c r="E223" s="13"/>
      <c r="F223" s="13"/>
      <c r="G223" s="14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4"/>
      <c r="D224" s="13"/>
      <c r="E224" s="13"/>
      <c r="F224" s="13"/>
      <c r="G224" s="14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4"/>
      <c r="D225" s="13"/>
      <c r="E225" s="13"/>
      <c r="F225" s="13"/>
      <c r="G225" s="14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4"/>
      <c r="D226" s="13"/>
      <c r="E226" s="13"/>
      <c r="F226" s="13"/>
      <c r="G226" s="14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4"/>
      <c r="D227" s="13"/>
      <c r="E227" s="13"/>
      <c r="F227" s="13"/>
      <c r="G227" s="14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4"/>
      <c r="D228" s="13"/>
      <c r="E228" s="13"/>
      <c r="F228" s="13"/>
      <c r="G228" s="14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4"/>
      <c r="D229" s="13"/>
      <c r="E229" s="13"/>
      <c r="F229" s="13"/>
      <c r="G229" s="14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4"/>
      <c r="D230" s="13"/>
      <c r="E230" s="13"/>
      <c r="F230" s="13"/>
      <c r="G230" s="14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4"/>
      <c r="D231" s="13"/>
      <c r="E231" s="13"/>
      <c r="F231" s="13"/>
      <c r="G231" s="14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4"/>
      <c r="D232" s="13"/>
      <c r="E232" s="13"/>
      <c r="F232" s="13"/>
      <c r="G232" s="14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4"/>
      <c r="D233" s="13"/>
      <c r="E233" s="13"/>
      <c r="F233" s="13"/>
      <c r="G233" s="14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4"/>
      <c r="D234" s="13"/>
      <c r="E234" s="13"/>
      <c r="F234" s="13"/>
      <c r="G234" s="14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4"/>
      <c r="D235" s="13"/>
      <c r="E235" s="13"/>
      <c r="F235" s="13"/>
      <c r="G235" s="14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4"/>
      <c r="D236" s="13"/>
      <c r="E236" s="13"/>
      <c r="F236" s="13"/>
      <c r="G236" s="14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4"/>
      <c r="D237" s="13"/>
      <c r="E237" s="13"/>
      <c r="F237" s="13"/>
      <c r="G237" s="14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4"/>
      <c r="D238" s="13"/>
      <c r="E238" s="13"/>
      <c r="F238" s="13"/>
      <c r="G238" s="14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4"/>
      <c r="D239" s="13"/>
      <c r="E239" s="13"/>
      <c r="F239" s="13"/>
      <c r="G239" s="14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4"/>
      <c r="D240" s="13"/>
      <c r="E240" s="13"/>
      <c r="F240" s="13"/>
      <c r="G240" s="14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4"/>
      <c r="D241" s="13"/>
      <c r="E241" s="13"/>
      <c r="F241" s="13"/>
      <c r="G241" s="14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4"/>
      <c r="D242" s="13"/>
      <c r="E242" s="13"/>
      <c r="F242" s="13"/>
      <c r="G242" s="14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4"/>
      <c r="D243" s="13"/>
      <c r="E243" s="13"/>
      <c r="F243" s="13"/>
      <c r="G243" s="14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4"/>
      <c r="D244" s="13"/>
      <c r="E244" s="13"/>
      <c r="F244" s="13"/>
      <c r="G244" s="14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4"/>
      <c r="D245" s="13"/>
      <c r="E245" s="13"/>
      <c r="F245" s="13"/>
      <c r="G245" s="14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4"/>
      <c r="D246" s="13"/>
      <c r="E246" s="13"/>
      <c r="F246" s="13"/>
      <c r="G246" s="14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4"/>
      <c r="D247" s="13"/>
      <c r="E247" s="13"/>
      <c r="F247" s="13"/>
      <c r="G247" s="14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4"/>
      <c r="D248" s="13"/>
      <c r="E248" s="13"/>
      <c r="F248" s="13"/>
      <c r="G248" s="14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4"/>
      <c r="D249" s="13"/>
      <c r="E249" s="13"/>
      <c r="F249" s="13"/>
      <c r="G249" s="14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4"/>
      <c r="D250" s="13"/>
      <c r="E250" s="13"/>
      <c r="F250" s="13"/>
      <c r="G250" s="14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4"/>
      <c r="D251" s="13"/>
      <c r="E251" s="13"/>
      <c r="F251" s="13"/>
      <c r="G251" s="14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4"/>
      <c r="D252" s="13"/>
      <c r="E252" s="13"/>
      <c r="F252" s="13"/>
      <c r="G252" s="14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4"/>
      <c r="D253" s="13"/>
      <c r="E253" s="13"/>
      <c r="F253" s="13"/>
      <c r="G253" s="14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4"/>
      <c r="D254" s="13"/>
      <c r="E254" s="13"/>
      <c r="F254" s="13"/>
      <c r="G254" s="14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4"/>
      <c r="D255" s="13"/>
      <c r="E255" s="13"/>
      <c r="F255" s="13"/>
      <c r="G255" s="14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4"/>
      <c r="D256" s="13"/>
      <c r="E256" s="13"/>
      <c r="F256" s="13"/>
      <c r="G256" s="14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4"/>
      <c r="D257" s="13"/>
      <c r="E257" s="13"/>
      <c r="F257" s="13"/>
      <c r="G257" s="14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4"/>
      <c r="D258" s="13"/>
      <c r="E258" s="13"/>
      <c r="F258" s="13"/>
      <c r="G258" s="14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4"/>
      <c r="D259" s="13"/>
      <c r="E259" s="13"/>
      <c r="F259" s="13"/>
      <c r="G259" s="14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4"/>
      <c r="D260" s="13"/>
      <c r="E260" s="13"/>
      <c r="F260" s="13"/>
      <c r="G260" s="14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4"/>
      <c r="D261" s="13"/>
      <c r="E261" s="13"/>
      <c r="F261" s="13"/>
      <c r="G261" s="14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4"/>
      <c r="D262" s="13"/>
      <c r="E262" s="13"/>
      <c r="F262" s="13"/>
      <c r="G262" s="14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4"/>
      <c r="D263" s="13"/>
      <c r="E263" s="13"/>
      <c r="F263" s="13"/>
      <c r="G263" s="14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4"/>
      <c r="D264" s="13"/>
      <c r="E264" s="13"/>
      <c r="F264" s="13"/>
      <c r="G264" s="14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4"/>
      <c r="D265" s="13"/>
      <c r="E265" s="13"/>
      <c r="F265" s="13"/>
      <c r="G265" s="14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4"/>
      <c r="D266" s="13"/>
      <c r="E266" s="13"/>
      <c r="F266" s="13"/>
      <c r="G266" s="14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4"/>
      <c r="D267" s="13"/>
      <c r="E267" s="13"/>
      <c r="F267" s="13"/>
      <c r="G267" s="14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4"/>
      <c r="D268" s="13"/>
      <c r="E268" s="13"/>
      <c r="F268" s="13"/>
      <c r="G268" s="14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4"/>
      <c r="D269" s="13"/>
      <c r="E269" s="13"/>
      <c r="F269" s="13"/>
      <c r="G269" s="14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4"/>
      <c r="D270" s="13"/>
      <c r="E270" s="13"/>
      <c r="F270" s="13"/>
      <c r="G270" s="14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4"/>
      <c r="D271" s="13"/>
      <c r="E271" s="13"/>
      <c r="F271" s="13"/>
      <c r="G271" s="14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4"/>
      <c r="D272" s="13"/>
      <c r="E272" s="13"/>
      <c r="F272" s="13"/>
      <c r="G272" s="14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4"/>
      <c r="D273" s="13"/>
      <c r="E273" s="13"/>
      <c r="F273" s="13"/>
      <c r="G273" s="14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4"/>
      <c r="D274" s="13"/>
      <c r="E274" s="13"/>
      <c r="F274" s="13"/>
      <c r="G274" s="14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4"/>
      <c r="D275" s="13"/>
      <c r="E275" s="13"/>
      <c r="F275" s="13"/>
      <c r="G275" s="14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4"/>
      <c r="D276" s="13"/>
      <c r="E276" s="13"/>
      <c r="F276" s="13"/>
      <c r="G276" s="14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4"/>
      <c r="D277" s="13"/>
      <c r="E277" s="13"/>
      <c r="F277" s="13"/>
      <c r="G277" s="14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4"/>
      <c r="D278" s="13"/>
      <c r="E278" s="13"/>
      <c r="F278" s="13"/>
      <c r="G278" s="14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4"/>
      <c r="D279" s="13"/>
      <c r="E279" s="13"/>
      <c r="F279" s="13"/>
      <c r="G279" s="14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4"/>
      <c r="D280" s="13"/>
      <c r="E280" s="13"/>
      <c r="F280" s="13"/>
      <c r="G280" s="14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4"/>
      <c r="D281" s="13"/>
      <c r="E281" s="13"/>
      <c r="F281" s="13"/>
      <c r="G281" s="14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4"/>
      <c r="D282" s="13"/>
      <c r="E282" s="13"/>
      <c r="F282" s="13"/>
      <c r="G282" s="14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4"/>
      <c r="D283" s="13"/>
      <c r="E283" s="13"/>
      <c r="F283" s="13"/>
      <c r="G283" s="14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4"/>
      <c r="D284" s="13"/>
      <c r="E284" s="13"/>
      <c r="F284" s="13"/>
      <c r="G284" s="14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4"/>
      <c r="D285" s="13"/>
      <c r="E285" s="13"/>
      <c r="F285" s="13"/>
      <c r="G285" s="14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4"/>
      <c r="D286" s="13"/>
      <c r="E286" s="13"/>
      <c r="F286" s="13"/>
      <c r="G286" s="14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4"/>
      <c r="D287" s="13"/>
      <c r="E287" s="13"/>
      <c r="F287" s="13"/>
      <c r="G287" s="14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4"/>
      <c r="D288" s="13"/>
      <c r="E288" s="13"/>
      <c r="F288" s="13"/>
      <c r="G288" s="14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4"/>
      <c r="D289" s="13"/>
      <c r="E289" s="13"/>
      <c r="F289" s="13"/>
      <c r="G289" s="14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4"/>
      <c r="D290" s="13"/>
      <c r="E290" s="13"/>
      <c r="F290" s="13"/>
      <c r="G290" s="14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4"/>
      <c r="D291" s="13"/>
      <c r="E291" s="13"/>
      <c r="F291" s="13"/>
      <c r="G291" s="14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4"/>
      <c r="D292" s="13"/>
      <c r="E292" s="13"/>
      <c r="F292" s="13"/>
      <c r="G292" s="14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4"/>
      <c r="D293" s="13"/>
      <c r="E293" s="13"/>
      <c r="F293" s="13"/>
      <c r="G293" s="14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4"/>
      <c r="D294" s="13"/>
      <c r="E294" s="13"/>
      <c r="F294" s="13"/>
      <c r="G294" s="14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4"/>
      <c r="D295" s="13"/>
      <c r="E295" s="13"/>
      <c r="F295" s="13"/>
      <c r="G295" s="14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4"/>
      <c r="D296" s="13"/>
      <c r="E296" s="13"/>
      <c r="F296" s="13"/>
      <c r="G296" s="14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4"/>
      <c r="D297" s="13"/>
      <c r="E297" s="13"/>
      <c r="F297" s="13"/>
      <c r="G297" s="14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4"/>
      <c r="D298" s="13"/>
      <c r="E298" s="13"/>
      <c r="F298" s="13"/>
      <c r="G298" s="14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4"/>
      <c r="D299" s="13"/>
      <c r="E299" s="13"/>
      <c r="F299" s="13"/>
      <c r="G299" s="14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4"/>
      <c r="D300" s="13"/>
      <c r="E300" s="13"/>
      <c r="F300" s="13"/>
      <c r="G300" s="14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4"/>
      <c r="D301" s="13"/>
      <c r="E301" s="13"/>
      <c r="F301" s="13"/>
      <c r="G301" s="14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4"/>
      <c r="D302" s="13"/>
      <c r="E302" s="13"/>
      <c r="F302" s="13"/>
      <c r="G302" s="14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4"/>
      <c r="D303" s="13"/>
      <c r="E303" s="13"/>
      <c r="F303" s="13"/>
      <c r="G303" s="14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4"/>
      <c r="D304" s="13"/>
      <c r="E304" s="13"/>
      <c r="F304" s="13"/>
      <c r="G304" s="14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4"/>
      <c r="D305" s="13"/>
      <c r="E305" s="13"/>
      <c r="F305" s="13"/>
      <c r="G305" s="14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4"/>
      <c r="D306" s="13"/>
      <c r="E306" s="13"/>
      <c r="F306" s="13"/>
      <c r="G306" s="14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4"/>
      <c r="D307" s="13"/>
      <c r="E307" s="13"/>
      <c r="F307" s="13"/>
      <c r="G307" s="14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4"/>
      <c r="D308" s="13"/>
      <c r="E308" s="13"/>
      <c r="F308" s="13"/>
      <c r="G308" s="14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4"/>
      <c r="D309" s="13"/>
      <c r="E309" s="13"/>
      <c r="F309" s="13"/>
      <c r="G309" s="14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4"/>
      <c r="D310" s="13"/>
      <c r="E310" s="13"/>
      <c r="F310" s="13"/>
      <c r="G310" s="14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4"/>
      <c r="D311" s="13"/>
      <c r="E311" s="13"/>
      <c r="F311" s="13"/>
      <c r="G311" s="14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4"/>
      <c r="D312" s="13"/>
      <c r="E312" s="13"/>
      <c r="F312" s="13"/>
      <c r="G312" s="14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4"/>
      <c r="D313" s="13"/>
      <c r="E313" s="13"/>
      <c r="F313" s="13"/>
      <c r="G313" s="14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4"/>
      <c r="D314" s="13"/>
      <c r="E314" s="13"/>
      <c r="F314" s="13"/>
      <c r="G314" s="14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4"/>
      <c r="D315" s="13"/>
      <c r="E315" s="13"/>
      <c r="F315" s="13"/>
      <c r="G315" s="14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4"/>
      <c r="D316" s="13"/>
      <c r="E316" s="13"/>
      <c r="F316" s="13"/>
      <c r="G316" s="14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4"/>
      <c r="D317" s="13"/>
      <c r="E317" s="13"/>
      <c r="F317" s="13"/>
      <c r="G317" s="14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4"/>
      <c r="D318" s="13"/>
      <c r="E318" s="13"/>
      <c r="F318" s="13"/>
      <c r="G318" s="14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4"/>
      <c r="D319" s="13"/>
      <c r="E319" s="13"/>
      <c r="F319" s="13"/>
      <c r="G319" s="14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4"/>
      <c r="D320" s="13"/>
      <c r="E320" s="13"/>
      <c r="F320" s="13"/>
      <c r="G320" s="14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4"/>
      <c r="D321" s="13"/>
      <c r="E321" s="13"/>
      <c r="F321" s="13"/>
      <c r="G321" s="14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4"/>
      <c r="D322" s="13"/>
      <c r="E322" s="13"/>
      <c r="F322" s="13"/>
      <c r="G322" s="14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4"/>
      <c r="D323" s="13"/>
      <c r="E323" s="13"/>
      <c r="F323" s="13"/>
      <c r="G323" s="14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4"/>
      <c r="D324" s="13"/>
      <c r="E324" s="13"/>
      <c r="F324" s="13"/>
      <c r="G324" s="14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4"/>
      <c r="D325" s="13"/>
      <c r="E325" s="13"/>
      <c r="F325" s="13"/>
      <c r="G325" s="14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4"/>
      <c r="D326" s="13"/>
      <c r="E326" s="13"/>
      <c r="F326" s="13"/>
      <c r="G326" s="14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4"/>
      <c r="D327" s="13"/>
      <c r="E327" s="13"/>
      <c r="F327" s="13"/>
      <c r="G327" s="14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4"/>
      <c r="D328" s="13"/>
      <c r="E328" s="13"/>
      <c r="F328" s="13"/>
      <c r="G328" s="14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4"/>
      <c r="D329" s="13"/>
      <c r="E329" s="13"/>
      <c r="F329" s="13"/>
      <c r="G329" s="14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4"/>
      <c r="D330" s="13"/>
      <c r="E330" s="13"/>
      <c r="F330" s="13"/>
      <c r="G330" s="14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4"/>
      <c r="D331" s="13"/>
      <c r="E331" s="13"/>
      <c r="F331" s="13"/>
      <c r="G331" s="14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4"/>
      <c r="D332" s="13"/>
      <c r="E332" s="13"/>
      <c r="F332" s="13"/>
      <c r="G332" s="14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4"/>
      <c r="D333" s="13"/>
      <c r="E333" s="13"/>
      <c r="F333" s="13"/>
      <c r="G333" s="14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4"/>
      <c r="D334" s="13"/>
      <c r="E334" s="13"/>
      <c r="F334" s="13"/>
      <c r="G334" s="14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4"/>
      <c r="D335" s="13"/>
      <c r="E335" s="13"/>
      <c r="F335" s="13"/>
      <c r="G335" s="14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4"/>
      <c r="D336" s="13"/>
      <c r="E336" s="13"/>
      <c r="F336" s="13"/>
      <c r="G336" s="14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4"/>
      <c r="D337" s="13"/>
      <c r="E337" s="13"/>
      <c r="F337" s="13"/>
      <c r="G337" s="14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4"/>
      <c r="D338" s="13"/>
      <c r="E338" s="13"/>
      <c r="F338" s="13"/>
      <c r="G338" s="14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4"/>
      <c r="D339" s="13"/>
      <c r="E339" s="13"/>
      <c r="F339" s="13"/>
      <c r="G339" s="14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4"/>
      <c r="D340" s="13"/>
      <c r="E340" s="13"/>
      <c r="F340" s="13"/>
      <c r="G340" s="14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4"/>
      <c r="D341" s="13"/>
      <c r="E341" s="13"/>
      <c r="F341" s="13"/>
      <c r="G341" s="14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4"/>
      <c r="D342" s="13"/>
      <c r="E342" s="13"/>
      <c r="F342" s="13"/>
      <c r="G342" s="14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4"/>
      <c r="D343" s="13"/>
      <c r="E343" s="13"/>
      <c r="F343" s="13"/>
      <c r="G343" s="14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4"/>
      <c r="D344" s="13"/>
      <c r="E344" s="13"/>
      <c r="F344" s="13"/>
      <c r="G344" s="14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4"/>
      <c r="D345" s="13"/>
      <c r="E345" s="13"/>
      <c r="F345" s="13"/>
      <c r="G345" s="14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4"/>
      <c r="D346" s="13"/>
      <c r="E346" s="13"/>
      <c r="F346" s="13"/>
      <c r="G346" s="14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4"/>
      <c r="D347" s="13"/>
      <c r="E347" s="13"/>
      <c r="F347" s="13"/>
      <c r="G347" s="14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4"/>
      <c r="D348" s="13"/>
      <c r="E348" s="13"/>
      <c r="F348" s="13"/>
      <c r="G348" s="14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4"/>
      <c r="D349" s="13"/>
      <c r="E349" s="13"/>
      <c r="F349" s="13"/>
      <c r="G349" s="14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4"/>
      <c r="D350" s="13"/>
      <c r="E350" s="13"/>
      <c r="F350" s="13"/>
      <c r="G350" s="14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4"/>
      <c r="D351" s="13"/>
      <c r="E351" s="13"/>
      <c r="F351" s="13"/>
      <c r="G351" s="14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4"/>
      <c r="D352" s="13"/>
      <c r="E352" s="13"/>
      <c r="F352" s="13"/>
      <c r="G352" s="14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4"/>
      <c r="D353" s="13"/>
      <c r="E353" s="13"/>
      <c r="F353" s="13"/>
      <c r="G353" s="14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4"/>
      <c r="D354" s="13"/>
      <c r="E354" s="13"/>
      <c r="F354" s="13"/>
      <c r="G354" s="14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4"/>
      <c r="D355" s="13"/>
      <c r="E355" s="13"/>
      <c r="F355" s="13"/>
      <c r="G355" s="14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4"/>
      <c r="D356" s="13"/>
      <c r="E356" s="13"/>
      <c r="F356" s="13"/>
      <c r="G356" s="14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4"/>
      <c r="D357" s="13"/>
      <c r="E357" s="13"/>
      <c r="F357" s="13"/>
      <c r="G357" s="14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4"/>
      <c r="D358" s="13"/>
      <c r="E358" s="13"/>
      <c r="F358" s="13"/>
      <c r="G358" s="14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4"/>
      <c r="D359" s="13"/>
      <c r="E359" s="13"/>
      <c r="F359" s="13"/>
      <c r="G359" s="14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4"/>
      <c r="D360" s="13"/>
      <c r="E360" s="13"/>
      <c r="F360" s="13"/>
      <c r="G360" s="14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4"/>
      <c r="D361" s="13"/>
      <c r="E361" s="13"/>
      <c r="F361" s="13"/>
      <c r="G361" s="14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4"/>
      <c r="D362" s="13"/>
      <c r="E362" s="13"/>
      <c r="F362" s="13"/>
      <c r="G362" s="14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4"/>
      <c r="D363" s="13"/>
      <c r="E363" s="13"/>
      <c r="F363" s="13"/>
      <c r="G363" s="14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4"/>
      <c r="D364" s="13"/>
      <c r="E364" s="13"/>
      <c r="F364" s="13"/>
      <c r="G364" s="14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4"/>
      <c r="D365" s="13"/>
      <c r="E365" s="13"/>
      <c r="F365" s="13"/>
      <c r="G365" s="14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4"/>
      <c r="D366" s="13"/>
      <c r="E366" s="13"/>
      <c r="F366" s="13"/>
      <c r="G366" s="14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4"/>
      <c r="D367" s="13"/>
      <c r="E367" s="13"/>
      <c r="F367" s="13"/>
      <c r="G367" s="14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4"/>
      <c r="D368" s="13"/>
      <c r="E368" s="13"/>
      <c r="F368" s="13"/>
      <c r="G368" s="14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4"/>
      <c r="D369" s="13"/>
      <c r="E369" s="13"/>
      <c r="F369" s="13"/>
      <c r="G369" s="14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4"/>
      <c r="D370" s="13"/>
      <c r="E370" s="13"/>
      <c r="F370" s="13"/>
      <c r="G370" s="14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4"/>
      <c r="D371" s="13"/>
      <c r="E371" s="13"/>
      <c r="F371" s="13"/>
      <c r="G371" s="14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4"/>
      <c r="D372" s="13"/>
      <c r="E372" s="13"/>
      <c r="F372" s="13"/>
      <c r="G372" s="14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4"/>
      <c r="D373" s="13"/>
      <c r="E373" s="13"/>
      <c r="F373" s="13"/>
      <c r="G373" s="14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4"/>
      <c r="D374" s="13"/>
      <c r="E374" s="13"/>
      <c r="F374" s="13"/>
      <c r="G374" s="14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4"/>
      <c r="D375" s="13"/>
      <c r="E375" s="13"/>
      <c r="F375" s="13"/>
      <c r="G375" s="14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4"/>
      <c r="D376" s="13"/>
      <c r="E376" s="13"/>
      <c r="F376" s="13"/>
      <c r="G376" s="14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4"/>
      <c r="D377" s="13"/>
      <c r="E377" s="13"/>
      <c r="F377" s="13"/>
      <c r="G377" s="14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4"/>
      <c r="D378" s="13"/>
      <c r="E378" s="13"/>
      <c r="F378" s="13"/>
      <c r="G378" s="14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4"/>
      <c r="D379" s="13"/>
      <c r="E379" s="13"/>
      <c r="F379" s="13"/>
      <c r="G379" s="14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4"/>
      <c r="D380" s="13"/>
      <c r="E380" s="13"/>
      <c r="F380" s="13"/>
      <c r="G380" s="14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4"/>
      <c r="D381" s="13"/>
      <c r="E381" s="13"/>
      <c r="F381" s="13"/>
      <c r="G381" s="14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4"/>
      <c r="D382" s="13"/>
      <c r="E382" s="13"/>
      <c r="F382" s="13"/>
      <c r="G382" s="14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4"/>
      <c r="D383" s="13"/>
      <c r="E383" s="13"/>
      <c r="F383" s="13"/>
      <c r="G383" s="14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4"/>
      <c r="D384" s="13"/>
      <c r="E384" s="13"/>
      <c r="F384" s="13"/>
      <c r="G384" s="14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4"/>
      <c r="D385" s="13"/>
      <c r="E385" s="13"/>
      <c r="F385" s="13"/>
      <c r="G385" s="14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4"/>
      <c r="D386" s="13"/>
      <c r="E386" s="13"/>
      <c r="F386" s="13"/>
      <c r="G386" s="14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4"/>
      <c r="D387" s="13"/>
      <c r="E387" s="13"/>
      <c r="F387" s="13"/>
      <c r="G387" s="14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4"/>
      <c r="D388" s="13"/>
      <c r="E388" s="13"/>
      <c r="F388" s="13"/>
      <c r="G388" s="14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4"/>
      <c r="D389" s="13"/>
      <c r="E389" s="13"/>
      <c r="F389" s="13"/>
      <c r="G389" s="14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4"/>
      <c r="D390" s="13"/>
      <c r="E390" s="13"/>
      <c r="F390" s="13"/>
      <c r="G390" s="14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4"/>
      <c r="D391" s="13"/>
      <c r="E391" s="13"/>
      <c r="F391" s="13"/>
      <c r="G391" s="14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4"/>
      <c r="D392" s="13"/>
      <c r="E392" s="13"/>
      <c r="F392" s="13"/>
      <c r="G392" s="14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4"/>
      <c r="D393" s="13"/>
      <c r="E393" s="13"/>
      <c r="F393" s="13"/>
      <c r="G393" s="14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4"/>
      <c r="D394" s="13"/>
      <c r="E394" s="13"/>
      <c r="F394" s="13"/>
      <c r="G394" s="14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4"/>
      <c r="D395" s="13"/>
      <c r="E395" s="13"/>
      <c r="F395" s="13"/>
      <c r="G395" s="14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4"/>
      <c r="D396" s="13"/>
      <c r="E396" s="13"/>
      <c r="F396" s="13"/>
      <c r="G396" s="14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4"/>
      <c r="D397" s="13"/>
      <c r="E397" s="13"/>
      <c r="F397" s="13"/>
      <c r="G397" s="14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4"/>
      <c r="D398" s="13"/>
      <c r="E398" s="13"/>
      <c r="F398" s="13"/>
      <c r="G398" s="14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4"/>
      <c r="D399" s="13"/>
      <c r="E399" s="13"/>
      <c r="F399" s="13"/>
      <c r="G399" s="14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4"/>
      <c r="D400" s="13"/>
      <c r="E400" s="13"/>
      <c r="F400" s="13"/>
      <c r="G400" s="14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4"/>
      <c r="D401" s="13"/>
      <c r="E401" s="13"/>
      <c r="F401" s="13"/>
      <c r="G401" s="14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4"/>
      <c r="D402" s="13"/>
      <c r="E402" s="13"/>
      <c r="F402" s="13"/>
      <c r="G402" s="14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4"/>
      <c r="D403" s="13"/>
      <c r="E403" s="13"/>
      <c r="F403" s="13"/>
      <c r="G403" s="14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4"/>
      <c r="D404" s="13"/>
      <c r="E404" s="13"/>
      <c r="F404" s="13"/>
      <c r="G404" s="14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4"/>
      <c r="D405" s="13"/>
      <c r="E405" s="13"/>
      <c r="F405" s="13"/>
      <c r="G405" s="14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4"/>
      <c r="D406" s="13"/>
      <c r="E406" s="13"/>
      <c r="F406" s="13"/>
      <c r="G406" s="14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4"/>
      <c r="D407" s="13"/>
      <c r="E407" s="13"/>
      <c r="F407" s="13"/>
      <c r="G407" s="14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4"/>
      <c r="D408" s="13"/>
      <c r="E408" s="13"/>
      <c r="F408" s="13"/>
      <c r="G408" s="14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4"/>
      <c r="D409" s="13"/>
      <c r="E409" s="13"/>
      <c r="F409" s="13"/>
      <c r="G409" s="14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4"/>
      <c r="D410" s="13"/>
      <c r="E410" s="13"/>
      <c r="F410" s="13"/>
      <c r="G410" s="14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4"/>
      <c r="D411" s="13"/>
      <c r="E411" s="13"/>
      <c r="F411" s="13"/>
      <c r="G411" s="14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4"/>
      <c r="D412" s="13"/>
      <c r="E412" s="13"/>
      <c r="F412" s="13"/>
      <c r="G412" s="14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4"/>
      <c r="D413" s="13"/>
      <c r="E413" s="13"/>
      <c r="F413" s="13"/>
      <c r="G413" s="14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4"/>
      <c r="D414" s="13"/>
      <c r="E414" s="13"/>
      <c r="F414" s="13"/>
      <c r="G414" s="14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4"/>
      <c r="D415" s="13"/>
      <c r="E415" s="13"/>
      <c r="F415" s="13"/>
      <c r="G415" s="14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4"/>
      <c r="D416" s="13"/>
      <c r="E416" s="13"/>
      <c r="F416" s="13"/>
      <c r="G416" s="14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4"/>
      <c r="D417" s="13"/>
      <c r="E417" s="13"/>
      <c r="F417" s="13"/>
      <c r="G417" s="14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4"/>
      <c r="D418" s="13"/>
      <c r="E418" s="13"/>
      <c r="F418" s="13"/>
      <c r="G418" s="14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4"/>
      <c r="D419" s="13"/>
      <c r="E419" s="13"/>
      <c r="F419" s="13"/>
      <c r="G419" s="14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4"/>
      <c r="D420" s="13"/>
      <c r="E420" s="13"/>
      <c r="F420" s="13"/>
      <c r="G420" s="14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4"/>
      <c r="D421" s="13"/>
      <c r="E421" s="13"/>
      <c r="F421" s="13"/>
      <c r="G421" s="14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4"/>
      <c r="D422" s="13"/>
      <c r="E422" s="13"/>
      <c r="F422" s="13"/>
      <c r="G422" s="14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4"/>
      <c r="D423" s="13"/>
      <c r="E423" s="13"/>
      <c r="F423" s="13"/>
      <c r="G423" s="14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4"/>
      <c r="D424" s="13"/>
      <c r="E424" s="13"/>
      <c r="F424" s="13"/>
      <c r="G424" s="14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4"/>
      <c r="D425" s="13"/>
      <c r="E425" s="13"/>
      <c r="F425" s="13"/>
      <c r="G425" s="14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4"/>
      <c r="D426" s="13"/>
      <c r="E426" s="13"/>
      <c r="F426" s="13"/>
      <c r="G426" s="14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4"/>
      <c r="D427" s="13"/>
      <c r="E427" s="13"/>
      <c r="F427" s="13"/>
      <c r="G427" s="14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4"/>
      <c r="D428" s="13"/>
      <c r="E428" s="13"/>
      <c r="F428" s="13"/>
      <c r="G428" s="14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4"/>
      <c r="D429" s="13"/>
      <c r="E429" s="13"/>
      <c r="F429" s="13"/>
      <c r="G429" s="14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4"/>
      <c r="D430" s="13"/>
      <c r="E430" s="13"/>
      <c r="F430" s="13"/>
      <c r="G430" s="14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4"/>
      <c r="D431" s="13"/>
      <c r="E431" s="13"/>
      <c r="F431" s="13"/>
      <c r="G431" s="14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4"/>
      <c r="D432" s="13"/>
      <c r="E432" s="13"/>
      <c r="F432" s="13"/>
      <c r="G432" s="14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4"/>
      <c r="D433" s="13"/>
      <c r="E433" s="13"/>
      <c r="F433" s="13"/>
      <c r="G433" s="14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4"/>
      <c r="D434" s="13"/>
      <c r="E434" s="13"/>
      <c r="F434" s="13"/>
      <c r="G434" s="14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4"/>
      <c r="D435" s="13"/>
      <c r="E435" s="13"/>
      <c r="F435" s="13"/>
      <c r="G435" s="14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4"/>
      <c r="D436" s="13"/>
      <c r="E436" s="13"/>
      <c r="F436" s="13"/>
      <c r="G436" s="14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4"/>
      <c r="D437" s="13"/>
      <c r="E437" s="13"/>
      <c r="F437" s="13"/>
      <c r="G437" s="14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4"/>
      <c r="D438" s="13"/>
      <c r="E438" s="13"/>
      <c r="F438" s="13"/>
      <c r="G438" s="14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4"/>
      <c r="D439" s="13"/>
      <c r="E439" s="13"/>
      <c r="F439" s="13"/>
      <c r="G439" s="14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4"/>
      <c r="D440" s="13"/>
      <c r="E440" s="13"/>
      <c r="F440" s="13"/>
      <c r="G440" s="14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4"/>
      <c r="D441" s="13"/>
      <c r="E441" s="13"/>
      <c r="F441" s="13"/>
      <c r="G441" s="14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4"/>
      <c r="D442" s="13"/>
      <c r="E442" s="13"/>
      <c r="F442" s="13"/>
      <c r="G442" s="14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4"/>
      <c r="D443" s="13"/>
      <c r="E443" s="13"/>
      <c r="F443" s="13"/>
      <c r="G443" s="14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4"/>
      <c r="D444" s="13"/>
      <c r="E444" s="13"/>
      <c r="F444" s="13"/>
      <c r="G444" s="14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4"/>
      <c r="D445" s="13"/>
      <c r="E445" s="13"/>
      <c r="F445" s="13"/>
      <c r="G445" s="14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4"/>
      <c r="D446" s="13"/>
      <c r="E446" s="13"/>
      <c r="F446" s="13"/>
      <c r="G446" s="14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4"/>
      <c r="D447" s="13"/>
      <c r="E447" s="13"/>
      <c r="F447" s="13"/>
      <c r="G447" s="14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4"/>
      <c r="D448" s="13"/>
      <c r="E448" s="13"/>
      <c r="F448" s="13"/>
      <c r="G448" s="14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4"/>
      <c r="D449" s="13"/>
      <c r="E449" s="13"/>
      <c r="F449" s="13"/>
      <c r="G449" s="14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4"/>
      <c r="D450" s="13"/>
      <c r="E450" s="13"/>
      <c r="F450" s="13"/>
      <c r="G450" s="14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4"/>
      <c r="D451" s="13"/>
      <c r="E451" s="13"/>
      <c r="F451" s="13"/>
      <c r="G451" s="14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4"/>
      <c r="D452" s="13"/>
      <c r="E452" s="13"/>
      <c r="F452" s="13"/>
      <c r="G452" s="14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4"/>
      <c r="D453" s="13"/>
      <c r="E453" s="13"/>
      <c r="F453" s="13"/>
      <c r="G453" s="14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4"/>
      <c r="D454" s="13"/>
      <c r="E454" s="13"/>
      <c r="F454" s="13"/>
      <c r="G454" s="14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4"/>
      <c r="D455" s="13"/>
      <c r="E455" s="13"/>
      <c r="F455" s="13"/>
      <c r="G455" s="14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4"/>
      <c r="D456" s="13"/>
      <c r="E456" s="13"/>
      <c r="F456" s="13"/>
      <c r="G456" s="14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4"/>
      <c r="D457" s="13"/>
      <c r="E457" s="13"/>
      <c r="F457" s="13"/>
      <c r="G457" s="14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4"/>
      <c r="D458" s="13"/>
      <c r="E458" s="13"/>
      <c r="F458" s="13"/>
      <c r="G458" s="14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4"/>
      <c r="D459" s="13"/>
      <c r="E459" s="13"/>
      <c r="F459" s="13"/>
      <c r="G459" s="14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4"/>
      <c r="D460" s="13"/>
      <c r="E460" s="13"/>
      <c r="F460" s="13"/>
      <c r="G460" s="14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4"/>
      <c r="D461" s="13"/>
      <c r="E461" s="13"/>
      <c r="F461" s="13"/>
      <c r="G461" s="14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4"/>
      <c r="D462" s="13"/>
      <c r="E462" s="13"/>
      <c r="F462" s="13"/>
      <c r="G462" s="14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4"/>
      <c r="D463" s="13"/>
      <c r="E463" s="13"/>
      <c r="F463" s="13"/>
      <c r="G463" s="14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4"/>
      <c r="D464" s="13"/>
      <c r="E464" s="13"/>
      <c r="F464" s="13"/>
      <c r="G464" s="14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4"/>
      <c r="D465" s="13"/>
      <c r="E465" s="13"/>
      <c r="F465" s="13"/>
      <c r="G465" s="14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4"/>
      <c r="D466" s="13"/>
      <c r="E466" s="13"/>
      <c r="F466" s="13"/>
      <c r="G466" s="14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4"/>
      <c r="D467" s="13"/>
      <c r="E467" s="13"/>
      <c r="F467" s="13"/>
      <c r="G467" s="14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4"/>
      <c r="D468" s="13"/>
      <c r="E468" s="13"/>
      <c r="F468" s="13"/>
      <c r="G468" s="14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4"/>
      <c r="D469" s="13"/>
      <c r="E469" s="13"/>
      <c r="F469" s="13"/>
      <c r="G469" s="14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4"/>
      <c r="D470" s="13"/>
      <c r="E470" s="13"/>
      <c r="F470" s="13"/>
      <c r="G470" s="14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4"/>
      <c r="D471" s="13"/>
      <c r="E471" s="13"/>
      <c r="F471" s="13"/>
      <c r="G471" s="14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4"/>
      <c r="D472" s="13"/>
      <c r="E472" s="13"/>
      <c r="F472" s="13"/>
      <c r="G472" s="14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4"/>
      <c r="D473" s="13"/>
      <c r="E473" s="13"/>
      <c r="F473" s="13"/>
      <c r="G473" s="14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4"/>
      <c r="D474" s="13"/>
      <c r="E474" s="13"/>
      <c r="F474" s="13"/>
      <c r="G474" s="14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4"/>
      <c r="D475" s="13"/>
      <c r="E475" s="13"/>
      <c r="F475" s="13"/>
      <c r="G475" s="14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4"/>
      <c r="D476" s="13"/>
      <c r="E476" s="13"/>
      <c r="F476" s="13"/>
      <c r="G476" s="14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4"/>
      <c r="D477" s="13"/>
      <c r="E477" s="13"/>
      <c r="F477" s="13"/>
      <c r="G477" s="14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4"/>
      <c r="D478" s="13"/>
      <c r="E478" s="13"/>
      <c r="F478" s="13"/>
      <c r="G478" s="14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4"/>
      <c r="D479" s="13"/>
      <c r="E479" s="13"/>
      <c r="F479" s="13"/>
      <c r="G479" s="14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4"/>
      <c r="D480" s="13"/>
      <c r="E480" s="13"/>
      <c r="F480" s="13"/>
      <c r="G480" s="14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4"/>
      <c r="D481" s="13"/>
      <c r="E481" s="13"/>
      <c r="F481" s="13"/>
      <c r="G481" s="14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4"/>
      <c r="D482" s="13"/>
      <c r="E482" s="13"/>
      <c r="F482" s="13"/>
      <c r="G482" s="14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4"/>
      <c r="D483" s="13"/>
      <c r="E483" s="13"/>
      <c r="F483" s="13"/>
      <c r="G483" s="14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4"/>
      <c r="D484" s="13"/>
      <c r="E484" s="13"/>
      <c r="F484" s="13"/>
      <c r="G484" s="14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4"/>
      <c r="D485" s="13"/>
      <c r="E485" s="13"/>
      <c r="F485" s="13"/>
      <c r="G485" s="14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4"/>
      <c r="D486" s="13"/>
      <c r="E486" s="13"/>
      <c r="F486" s="13"/>
      <c r="G486" s="14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4"/>
      <c r="D487" s="13"/>
      <c r="E487" s="13"/>
      <c r="F487" s="13"/>
      <c r="G487" s="14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4"/>
      <c r="D488" s="13"/>
      <c r="E488" s="13"/>
      <c r="F488" s="13"/>
      <c r="G488" s="14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4"/>
      <c r="D489" s="13"/>
      <c r="E489" s="13"/>
      <c r="F489" s="13"/>
      <c r="G489" s="14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4"/>
      <c r="D490" s="13"/>
      <c r="E490" s="13"/>
      <c r="F490" s="13"/>
      <c r="G490" s="14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4"/>
      <c r="D491" s="13"/>
      <c r="E491" s="13"/>
      <c r="F491" s="13"/>
      <c r="G491" s="14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4"/>
      <c r="D492" s="13"/>
      <c r="E492" s="13"/>
      <c r="F492" s="13"/>
      <c r="G492" s="14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4"/>
      <c r="D493" s="13"/>
      <c r="E493" s="13"/>
      <c r="F493" s="13"/>
      <c r="G493" s="14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4"/>
      <c r="D494" s="13"/>
      <c r="E494" s="13"/>
      <c r="F494" s="13"/>
      <c r="G494" s="14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4"/>
      <c r="D495" s="13"/>
      <c r="E495" s="13"/>
      <c r="F495" s="13"/>
      <c r="G495" s="14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4"/>
      <c r="D496" s="13"/>
      <c r="E496" s="13"/>
      <c r="F496" s="13"/>
      <c r="G496" s="14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4"/>
      <c r="D497" s="13"/>
      <c r="E497" s="13"/>
      <c r="F497" s="13"/>
      <c r="G497" s="14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4"/>
      <c r="D498" s="13"/>
      <c r="E498" s="13"/>
      <c r="F498" s="13"/>
      <c r="G498" s="14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4"/>
      <c r="D499" s="13"/>
      <c r="E499" s="13"/>
      <c r="F499" s="13"/>
      <c r="G499" s="14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4"/>
      <c r="D500" s="13"/>
      <c r="E500" s="13"/>
      <c r="F500" s="13"/>
      <c r="G500" s="14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4"/>
      <c r="D501" s="13"/>
      <c r="E501" s="13"/>
      <c r="F501" s="13"/>
      <c r="G501" s="14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4"/>
      <c r="D502" s="13"/>
      <c r="E502" s="13"/>
      <c r="F502" s="13"/>
      <c r="G502" s="14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4"/>
      <c r="D503" s="13"/>
      <c r="E503" s="13"/>
      <c r="F503" s="13"/>
      <c r="G503" s="14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4"/>
      <c r="D504" s="13"/>
      <c r="E504" s="13"/>
      <c r="F504" s="13"/>
      <c r="G504" s="14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4"/>
      <c r="D505" s="13"/>
      <c r="E505" s="13"/>
      <c r="F505" s="13"/>
      <c r="G505" s="14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4"/>
      <c r="D506" s="13"/>
      <c r="E506" s="13"/>
      <c r="F506" s="13"/>
      <c r="G506" s="14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4"/>
      <c r="D507" s="13"/>
      <c r="E507" s="13"/>
      <c r="F507" s="13"/>
      <c r="G507" s="14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4"/>
      <c r="D508" s="13"/>
      <c r="E508" s="13"/>
      <c r="F508" s="13"/>
      <c r="G508" s="14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4"/>
      <c r="D509" s="13"/>
      <c r="E509" s="13"/>
      <c r="F509" s="13"/>
      <c r="G509" s="14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4"/>
      <c r="D510" s="13"/>
      <c r="E510" s="13"/>
      <c r="F510" s="13"/>
      <c r="G510" s="14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4"/>
      <c r="D511" s="13"/>
      <c r="E511" s="13"/>
      <c r="F511" s="13"/>
      <c r="G511" s="14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4"/>
      <c r="D512" s="13"/>
      <c r="E512" s="13"/>
      <c r="F512" s="13"/>
      <c r="G512" s="14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4"/>
      <c r="D513" s="13"/>
      <c r="E513" s="13"/>
      <c r="F513" s="13"/>
      <c r="G513" s="14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4"/>
      <c r="D514" s="13"/>
      <c r="E514" s="13"/>
      <c r="F514" s="13"/>
      <c r="G514" s="14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4"/>
      <c r="D515" s="13"/>
      <c r="E515" s="13"/>
      <c r="F515" s="13"/>
      <c r="G515" s="14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4"/>
      <c r="D516" s="13"/>
      <c r="E516" s="13"/>
      <c r="F516" s="13"/>
      <c r="G516" s="14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4"/>
      <c r="D517" s="13"/>
      <c r="E517" s="13"/>
      <c r="F517" s="13"/>
      <c r="G517" s="14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4"/>
      <c r="D518" s="13"/>
      <c r="E518" s="13"/>
      <c r="F518" s="13"/>
      <c r="G518" s="14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4"/>
      <c r="D519" s="13"/>
      <c r="E519" s="13"/>
      <c r="F519" s="13"/>
      <c r="G519" s="14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4"/>
      <c r="D520" s="13"/>
      <c r="E520" s="13"/>
      <c r="F520" s="13"/>
      <c r="G520" s="14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4"/>
      <c r="D521" s="13"/>
      <c r="E521" s="13"/>
      <c r="F521" s="13"/>
      <c r="G521" s="14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4"/>
      <c r="D522" s="13"/>
      <c r="E522" s="13"/>
      <c r="F522" s="13"/>
      <c r="G522" s="14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4"/>
      <c r="D523" s="13"/>
      <c r="E523" s="13"/>
      <c r="F523" s="13"/>
      <c r="G523" s="14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4"/>
      <c r="D524" s="13"/>
      <c r="E524" s="13"/>
      <c r="F524" s="13"/>
      <c r="G524" s="14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4"/>
      <c r="D525" s="13"/>
      <c r="E525" s="13"/>
      <c r="F525" s="13"/>
      <c r="G525" s="14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4"/>
      <c r="D526" s="13"/>
      <c r="E526" s="13"/>
      <c r="F526" s="13"/>
      <c r="G526" s="14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4"/>
      <c r="D527" s="13"/>
      <c r="E527" s="13"/>
      <c r="F527" s="13"/>
      <c r="G527" s="14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4"/>
      <c r="D528" s="13"/>
      <c r="E528" s="13"/>
      <c r="F528" s="13"/>
      <c r="G528" s="14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4"/>
      <c r="D529" s="13"/>
      <c r="E529" s="13"/>
      <c r="F529" s="13"/>
      <c r="G529" s="14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4"/>
      <c r="D530" s="13"/>
      <c r="E530" s="13"/>
      <c r="F530" s="13"/>
      <c r="G530" s="14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4"/>
      <c r="D531" s="13"/>
      <c r="E531" s="13"/>
      <c r="F531" s="13"/>
      <c r="G531" s="14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4"/>
      <c r="D532" s="13"/>
      <c r="E532" s="13"/>
      <c r="F532" s="13"/>
      <c r="G532" s="14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4"/>
      <c r="D533" s="13"/>
      <c r="E533" s="13"/>
      <c r="F533" s="13"/>
      <c r="G533" s="14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4"/>
      <c r="D534" s="13"/>
      <c r="E534" s="13"/>
      <c r="F534" s="13"/>
      <c r="G534" s="14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4"/>
      <c r="D535" s="13"/>
      <c r="E535" s="13"/>
      <c r="F535" s="13"/>
      <c r="G535" s="14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4"/>
      <c r="D536" s="13"/>
      <c r="E536" s="13"/>
      <c r="F536" s="13"/>
      <c r="G536" s="14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4"/>
      <c r="D537" s="13"/>
      <c r="E537" s="13"/>
      <c r="F537" s="13"/>
      <c r="G537" s="14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4"/>
      <c r="D538" s="13"/>
      <c r="E538" s="13"/>
      <c r="F538" s="13"/>
      <c r="G538" s="14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4"/>
      <c r="D539" s="13"/>
      <c r="E539" s="13"/>
      <c r="F539" s="13"/>
      <c r="G539" s="14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4"/>
      <c r="D540" s="13"/>
      <c r="E540" s="13"/>
      <c r="F540" s="13"/>
      <c r="G540" s="14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4"/>
      <c r="D541" s="13"/>
      <c r="E541" s="13"/>
      <c r="F541" s="13"/>
      <c r="G541" s="14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4"/>
      <c r="D542" s="13"/>
      <c r="E542" s="13"/>
      <c r="F542" s="13"/>
      <c r="G542" s="14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4"/>
      <c r="D543" s="13"/>
      <c r="E543" s="13"/>
      <c r="F543" s="13"/>
      <c r="G543" s="14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4"/>
      <c r="D544" s="13"/>
      <c r="E544" s="13"/>
      <c r="F544" s="13"/>
      <c r="G544" s="14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4"/>
      <c r="D545" s="13"/>
      <c r="E545" s="13"/>
      <c r="F545" s="13"/>
      <c r="G545" s="14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4"/>
      <c r="D546" s="13"/>
      <c r="E546" s="13"/>
      <c r="F546" s="13"/>
      <c r="G546" s="14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4"/>
      <c r="D547" s="13"/>
      <c r="E547" s="13"/>
      <c r="F547" s="13"/>
      <c r="G547" s="14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4"/>
      <c r="D548" s="13"/>
      <c r="E548" s="13"/>
      <c r="F548" s="13"/>
      <c r="G548" s="14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4"/>
      <c r="D549" s="13"/>
      <c r="E549" s="13"/>
      <c r="F549" s="13"/>
      <c r="G549" s="14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4"/>
      <c r="D550" s="13"/>
      <c r="E550" s="13"/>
      <c r="F550" s="13"/>
      <c r="G550" s="14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4"/>
      <c r="D551" s="13"/>
      <c r="E551" s="13"/>
      <c r="F551" s="13"/>
      <c r="G551" s="14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4"/>
      <c r="D552" s="13"/>
      <c r="E552" s="13"/>
      <c r="F552" s="13"/>
      <c r="G552" s="14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4"/>
      <c r="D553" s="13"/>
      <c r="E553" s="13"/>
      <c r="F553" s="13"/>
      <c r="G553" s="14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4"/>
      <c r="D554" s="13"/>
      <c r="E554" s="13"/>
      <c r="F554" s="13"/>
      <c r="G554" s="14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4"/>
      <c r="D555" s="13"/>
      <c r="E555" s="13"/>
      <c r="F555" s="13"/>
      <c r="G555" s="14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4"/>
      <c r="D556" s="13"/>
      <c r="E556" s="13"/>
      <c r="F556" s="13"/>
      <c r="G556" s="14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4"/>
      <c r="D557" s="13"/>
      <c r="E557" s="13"/>
      <c r="F557" s="13"/>
      <c r="G557" s="14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4"/>
      <c r="D558" s="13"/>
      <c r="E558" s="13"/>
      <c r="F558" s="13"/>
      <c r="G558" s="14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4"/>
      <c r="D559" s="13"/>
      <c r="E559" s="13"/>
      <c r="F559" s="13"/>
      <c r="G559" s="14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4"/>
      <c r="D560" s="13"/>
      <c r="E560" s="13"/>
      <c r="F560" s="13"/>
      <c r="G560" s="14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4"/>
      <c r="D561" s="13"/>
      <c r="E561" s="13"/>
      <c r="F561" s="13"/>
      <c r="G561" s="14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4"/>
      <c r="D562" s="13"/>
      <c r="E562" s="13"/>
      <c r="F562" s="13"/>
      <c r="G562" s="14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4"/>
      <c r="D563" s="13"/>
      <c r="E563" s="13"/>
      <c r="F563" s="13"/>
      <c r="G563" s="14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4"/>
      <c r="D564" s="13"/>
      <c r="E564" s="13"/>
      <c r="F564" s="13"/>
      <c r="G564" s="14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4"/>
      <c r="D565" s="13"/>
      <c r="E565" s="13"/>
      <c r="F565" s="13"/>
      <c r="G565" s="14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4"/>
      <c r="D566" s="13"/>
      <c r="E566" s="13"/>
      <c r="F566" s="13"/>
      <c r="G566" s="14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4"/>
      <c r="D567" s="13"/>
      <c r="E567" s="13"/>
      <c r="F567" s="13"/>
      <c r="G567" s="14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4"/>
      <c r="D568" s="13"/>
      <c r="E568" s="13"/>
      <c r="F568" s="13"/>
      <c r="G568" s="14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4"/>
      <c r="D569" s="13"/>
      <c r="E569" s="13"/>
      <c r="F569" s="13"/>
      <c r="G569" s="14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4"/>
      <c r="D570" s="13"/>
      <c r="E570" s="13"/>
      <c r="F570" s="13"/>
      <c r="G570" s="14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4"/>
      <c r="D571" s="13"/>
      <c r="E571" s="13"/>
      <c r="F571" s="13"/>
      <c r="G571" s="14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4"/>
      <c r="D572" s="13"/>
      <c r="E572" s="13"/>
      <c r="F572" s="13"/>
      <c r="G572" s="14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4"/>
      <c r="D573" s="13"/>
      <c r="E573" s="13"/>
      <c r="F573" s="13"/>
      <c r="G573" s="14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4"/>
      <c r="D574" s="13"/>
      <c r="E574" s="13"/>
      <c r="F574" s="13"/>
      <c r="G574" s="14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4"/>
      <c r="D575" s="13"/>
      <c r="E575" s="13"/>
      <c r="F575" s="13"/>
      <c r="G575" s="14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4"/>
      <c r="D576" s="13"/>
      <c r="E576" s="13"/>
      <c r="F576" s="13"/>
      <c r="G576" s="14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4"/>
      <c r="D577" s="13"/>
      <c r="E577" s="13"/>
      <c r="F577" s="13"/>
      <c r="G577" s="14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4"/>
      <c r="D578" s="13"/>
      <c r="E578" s="13"/>
      <c r="F578" s="13"/>
      <c r="G578" s="14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4"/>
      <c r="D579" s="13"/>
      <c r="E579" s="13"/>
      <c r="F579" s="13"/>
      <c r="G579" s="14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4"/>
      <c r="D580" s="13"/>
      <c r="E580" s="13"/>
      <c r="F580" s="13"/>
      <c r="G580" s="14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4"/>
      <c r="D581" s="13"/>
      <c r="E581" s="13"/>
      <c r="F581" s="13"/>
      <c r="G581" s="14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4"/>
      <c r="D582" s="13"/>
      <c r="E582" s="13"/>
      <c r="F582" s="13"/>
      <c r="G582" s="14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4"/>
      <c r="D583" s="13"/>
      <c r="E583" s="13"/>
      <c r="F583" s="13"/>
      <c r="G583" s="14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4"/>
      <c r="D584" s="13"/>
      <c r="E584" s="13"/>
      <c r="F584" s="13"/>
      <c r="G584" s="14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4"/>
      <c r="D585" s="13"/>
      <c r="E585" s="13"/>
      <c r="F585" s="13"/>
      <c r="G585" s="14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4"/>
      <c r="D586" s="13"/>
      <c r="E586" s="13"/>
      <c r="F586" s="13"/>
      <c r="G586" s="14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4"/>
      <c r="D587" s="13"/>
      <c r="E587" s="13"/>
      <c r="F587" s="13"/>
      <c r="G587" s="14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4"/>
      <c r="D588" s="13"/>
      <c r="E588" s="13"/>
      <c r="F588" s="13"/>
      <c r="G588" s="14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4"/>
      <c r="D589" s="13"/>
      <c r="E589" s="13"/>
      <c r="F589" s="13"/>
      <c r="G589" s="14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4"/>
      <c r="D590" s="13"/>
      <c r="E590" s="13"/>
      <c r="F590" s="13"/>
      <c r="G590" s="14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4"/>
      <c r="D591" s="13"/>
      <c r="E591" s="13"/>
      <c r="F591" s="13"/>
      <c r="G591" s="14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4"/>
      <c r="D592" s="13"/>
      <c r="E592" s="13"/>
      <c r="F592" s="13"/>
      <c r="G592" s="14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4"/>
      <c r="D593" s="13"/>
      <c r="E593" s="13"/>
      <c r="F593" s="13"/>
      <c r="G593" s="14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4"/>
      <c r="D594" s="13"/>
      <c r="E594" s="13"/>
      <c r="F594" s="13"/>
      <c r="G594" s="14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4"/>
      <c r="D595" s="13"/>
      <c r="E595" s="13"/>
      <c r="F595" s="13"/>
      <c r="G595" s="14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4"/>
      <c r="D596" s="13"/>
      <c r="E596" s="13"/>
      <c r="F596" s="13"/>
      <c r="G596" s="14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4"/>
      <c r="D597" s="13"/>
      <c r="E597" s="13"/>
      <c r="F597" s="13"/>
      <c r="G597" s="14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4"/>
      <c r="D598" s="13"/>
      <c r="E598" s="13"/>
      <c r="F598" s="13"/>
      <c r="G598" s="14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4"/>
      <c r="D599" s="13"/>
      <c r="E599" s="13"/>
      <c r="F599" s="13"/>
      <c r="G599" s="14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4"/>
      <c r="D600" s="13"/>
      <c r="E600" s="13"/>
      <c r="F600" s="13"/>
      <c r="G600" s="14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4"/>
      <c r="D601" s="13"/>
      <c r="E601" s="13"/>
      <c r="F601" s="13"/>
      <c r="G601" s="14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4"/>
      <c r="D602" s="13"/>
      <c r="E602" s="13"/>
      <c r="F602" s="13"/>
      <c r="G602" s="14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4"/>
      <c r="D603" s="13"/>
      <c r="E603" s="13"/>
      <c r="F603" s="13"/>
      <c r="G603" s="14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4"/>
      <c r="D604" s="13"/>
      <c r="E604" s="13"/>
      <c r="F604" s="13"/>
      <c r="G604" s="14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4"/>
      <c r="D605" s="13"/>
      <c r="E605" s="13"/>
      <c r="F605" s="13"/>
      <c r="G605" s="14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4"/>
      <c r="D606" s="13"/>
      <c r="E606" s="13"/>
      <c r="F606" s="13"/>
      <c r="G606" s="14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4"/>
      <c r="D607" s="13"/>
      <c r="E607" s="13"/>
      <c r="F607" s="13"/>
      <c r="G607" s="14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4"/>
      <c r="D608" s="13"/>
      <c r="E608" s="13"/>
      <c r="F608" s="13"/>
      <c r="G608" s="14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4"/>
      <c r="D609" s="13"/>
      <c r="E609" s="13"/>
      <c r="F609" s="13"/>
      <c r="G609" s="14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4"/>
      <c r="D610" s="13"/>
      <c r="E610" s="13"/>
      <c r="F610" s="13"/>
      <c r="G610" s="14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4"/>
      <c r="D611" s="13"/>
      <c r="E611" s="13"/>
      <c r="F611" s="13"/>
      <c r="G611" s="14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4"/>
      <c r="D612" s="13"/>
      <c r="E612" s="13"/>
      <c r="F612" s="13"/>
      <c r="G612" s="14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4"/>
      <c r="D613" s="13"/>
      <c r="E613" s="13"/>
      <c r="F613" s="13"/>
      <c r="G613" s="14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4"/>
      <c r="D614" s="13"/>
      <c r="E614" s="13"/>
      <c r="F614" s="13"/>
      <c r="G614" s="14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4"/>
      <c r="D615" s="13"/>
      <c r="E615" s="13"/>
      <c r="F615" s="13"/>
      <c r="G615" s="14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4"/>
      <c r="D616" s="13"/>
      <c r="E616" s="13"/>
      <c r="F616" s="13"/>
      <c r="G616" s="14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4"/>
      <c r="D617" s="13"/>
      <c r="E617" s="13"/>
      <c r="F617" s="13"/>
      <c r="G617" s="14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4"/>
      <c r="D618" s="13"/>
      <c r="E618" s="13"/>
      <c r="F618" s="13"/>
      <c r="G618" s="14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4"/>
      <c r="D619" s="13"/>
      <c r="E619" s="13"/>
      <c r="F619" s="13"/>
      <c r="G619" s="14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4"/>
      <c r="D620" s="13"/>
      <c r="E620" s="13"/>
      <c r="F620" s="13"/>
      <c r="G620" s="14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4"/>
      <c r="D621" s="13"/>
      <c r="E621" s="13"/>
      <c r="F621" s="13"/>
      <c r="G621" s="14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4"/>
      <c r="D622" s="13"/>
      <c r="E622" s="13"/>
      <c r="F622" s="13"/>
      <c r="G622" s="14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4"/>
      <c r="D623" s="13"/>
      <c r="E623" s="13"/>
      <c r="F623" s="13"/>
      <c r="G623" s="14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4"/>
      <c r="D624" s="13"/>
      <c r="E624" s="13"/>
      <c r="F624" s="13"/>
      <c r="G624" s="14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4"/>
      <c r="D625" s="13"/>
      <c r="E625" s="13"/>
      <c r="F625" s="13"/>
      <c r="G625" s="14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4"/>
      <c r="D626" s="13"/>
      <c r="E626" s="13"/>
      <c r="F626" s="13"/>
      <c r="G626" s="14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4"/>
      <c r="D627" s="13"/>
      <c r="E627" s="13"/>
      <c r="F627" s="13"/>
      <c r="G627" s="14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4"/>
      <c r="D628" s="13"/>
      <c r="E628" s="13"/>
      <c r="F628" s="13"/>
      <c r="G628" s="14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4"/>
      <c r="D629" s="13"/>
      <c r="E629" s="13"/>
      <c r="F629" s="13"/>
      <c r="G629" s="14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4"/>
      <c r="D630" s="13"/>
      <c r="E630" s="13"/>
      <c r="F630" s="13"/>
      <c r="G630" s="14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4"/>
      <c r="D631" s="13"/>
      <c r="E631" s="13"/>
      <c r="F631" s="13"/>
      <c r="G631" s="14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4"/>
      <c r="D632" s="13"/>
      <c r="E632" s="13"/>
      <c r="F632" s="13"/>
      <c r="G632" s="14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4"/>
      <c r="D633" s="13"/>
      <c r="E633" s="13"/>
      <c r="F633" s="13"/>
      <c r="G633" s="14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4"/>
      <c r="D634" s="13"/>
      <c r="E634" s="13"/>
      <c r="F634" s="13"/>
      <c r="G634" s="14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4"/>
      <c r="D635" s="13"/>
      <c r="E635" s="13"/>
      <c r="F635" s="13"/>
      <c r="G635" s="14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4"/>
      <c r="D636" s="13"/>
      <c r="E636" s="13"/>
      <c r="F636" s="13"/>
      <c r="G636" s="14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4"/>
      <c r="D637" s="13"/>
      <c r="E637" s="13"/>
      <c r="F637" s="13"/>
      <c r="G637" s="14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4"/>
      <c r="D638" s="13"/>
      <c r="E638" s="13"/>
      <c r="F638" s="13"/>
      <c r="G638" s="14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4"/>
      <c r="D639" s="13"/>
      <c r="E639" s="13"/>
      <c r="F639" s="13"/>
      <c r="G639" s="14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4"/>
      <c r="D640" s="13"/>
      <c r="E640" s="13"/>
      <c r="F640" s="13"/>
      <c r="G640" s="14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4"/>
      <c r="D641" s="13"/>
      <c r="E641" s="13"/>
      <c r="F641" s="13"/>
      <c r="G641" s="14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4"/>
      <c r="D642" s="13"/>
      <c r="E642" s="13"/>
      <c r="F642" s="13"/>
      <c r="G642" s="14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4"/>
      <c r="D643" s="13"/>
      <c r="E643" s="13"/>
      <c r="F643" s="13"/>
      <c r="G643" s="14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4"/>
      <c r="D644" s="13"/>
      <c r="E644" s="13"/>
      <c r="F644" s="13"/>
      <c r="G644" s="14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4"/>
      <c r="D645" s="13"/>
      <c r="E645" s="13"/>
      <c r="F645" s="13"/>
      <c r="G645" s="14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4"/>
      <c r="D646" s="13"/>
      <c r="E646" s="13"/>
      <c r="F646" s="13"/>
      <c r="G646" s="14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4"/>
      <c r="D647" s="13"/>
      <c r="E647" s="13"/>
      <c r="F647" s="13"/>
      <c r="G647" s="14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4"/>
      <c r="D648" s="13"/>
      <c r="E648" s="13"/>
      <c r="F648" s="13"/>
      <c r="G648" s="14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4"/>
      <c r="D649" s="13"/>
      <c r="E649" s="13"/>
      <c r="F649" s="13"/>
      <c r="G649" s="14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4"/>
      <c r="D650" s="13"/>
      <c r="E650" s="13"/>
      <c r="F650" s="13"/>
      <c r="G650" s="14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4"/>
      <c r="D651" s="13"/>
      <c r="E651" s="13"/>
      <c r="F651" s="13"/>
      <c r="G651" s="14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4"/>
      <c r="D652" s="13"/>
      <c r="E652" s="13"/>
      <c r="F652" s="13"/>
      <c r="G652" s="14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4"/>
      <c r="D653" s="13"/>
      <c r="E653" s="13"/>
      <c r="F653" s="13"/>
      <c r="G653" s="14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4"/>
      <c r="D654" s="13"/>
      <c r="E654" s="13"/>
      <c r="F654" s="13"/>
      <c r="G654" s="14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4"/>
      <c r="D655" s="13"/>
      <c r="E655" s="13"/>
      <c r="F655" s="13"/>
      <c r="G655" s="14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4"/>
      <c r="D656" s="13"/>
      <c r="E656" s="13"/>
      <c r="F656" s="13"/>
      <c r="G656" s="14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4"/>
      <c r="D657" s="13"/>
      <c r="E657" s="13"/>
      <c r="F657" s="13"/>
      <c r="G657" s="14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4"/>
      <c r="D658" s="13"/>
      <c r="E658" s="13"/>
      <c r="F658" s="13"/>
      <c r="G658" s="14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4"/>
      <c r="D659" s="13"/>
      <c r="E659" s="13"/>
      <c r="F659" s="13"/>
      <c r="G659" s="14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4"/>
      <c r="D660" s="13"/>
      <c r="E660" s="13"/>
      <c r="F660" s="13"/>
      <c r="G660" s="14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4"/>
      <c r="D661" s="13"/>
      <c r="E661" s="13"/>
      <c r="F661" s="13"/>
      <c r="G661" s="14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4"/>
      <c r="D662" s="13"/>
      <c r="E662" s="13"/>
      <c r="F662" s="13"/>
      <c r="G662" s="14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4"/>
      <c r="D663" s="13"/>
      <c r="E663" s="13"/>
      <c r="F663" s="13"/>
      <c r="G663" s="14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4"/>
      <c r="D664" s="13"/>
      <c r="E664" s="13"/>
      <c r="F664" s="13"/>
      <c r="G664" s="14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4"/>
      <c r="D665" s="13"/>
      <c r="E665" s="13"/>
      <c r="F665" s="13"/>
      <c r="G665" s="14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4"/>
      <c r="D666" s="13"/>
      <c r="E666" s="13"/>
      <c r="F666" s="13"/>
      <c r="G666" s="14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4"/>
      <c r="D667" s="13"/>
      <c r="E667" s="13"/>
      <c r="F667" s="13"/>
      <c r="G667" s="14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4"/>
      <c r="D668" s="13"/>
      <c r="E668" s="13"/>
      <c r="F668" s="13"/>
      <c r="G668" s="14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4"/>
      <c r="D669" s="13"/>
      <c r="E669" s="13"/>
      <c r="F669" s="13"/>
      <c r="G669" s="14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4"/>
      <c r="D670" s="13"/>
      <c r="E670" s="13"/>
      <c r="F670" s="13"/>
      <c r="G670" s="14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4"/>
      <c r="D671" s="13"/>
      <c r="E671" s="13"/>
      <c r="F671" s="13"/>
      <c r="G671" s="14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4"/>
      <c r="D672" s="13"/>
      <c r="E672" s="13"/>
      <c r="F672" s="13"/>
      <c r="G672" s="14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4"/>
      <c r="D673" s="13"/>
      <c r="E673" s="13"/>
      <c r="F673" s="13"/>
      <c r="G673" s="14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4"/>
      <c r="D674" s="13"/>
      <c r="E674" s="13"/>
      <c r="F674" s="13"/>
      <c r="G674" s="14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4"/>
      <c r="D675" s="13"/>
      <c r="E675" s="13"/>
      <c r="F675" s="13"/>
      <c r="G675" s="14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4"/>
      <c r="D676" s="13"/>
      <c r="E676" s="13"/>
      <c r="F676" s="13"/>
      <c r="G676" s="14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4"/>
      <c r="D677" s="13"/>
      <c r="E677" s="13"/>
      <c r="F677" s="13"/>
      <c r="G677" s="14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4"/>
      <c r="D678" s="13"/>
      <c r="E678" s="13"/>
      <c r="F678" s="13"/>
      <c r="G678" s="14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4"/>
      <c r="D679" s="13"/>
      <c r="E679" s="13"/>
      <c r="F679" s="13"/>
      <c r="G679" s="14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4"/>
      <c r="D680" s="13"/>
      <c r="E680" s="13"/>
      <c r="F680" s="13"/>
      <c r="G680" s="14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4"/>
      <c r="D681" s="13"/>
      <c r="E681" s="13"/>
      <c r="F681" s="13"/>
      <c r="G681" s="14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4"/>
      <c r="D682" s="13"/>
      <c r="E682" s="13"/>
      <c r="F682" s="13"/>
      <c r="G682" s="14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4"/>
      <c r="D683" s="13"/>
      <c r="E683" s="13"/>
      <c r="F683" s="13"/>
      <c r="G683" s="14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4"/>
      <c r="D684" s="13"/>
      <c r="E684" s="13"/>
      <c r="F684" s="13"/>
      <c r="G684" s="14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4"/>
      <c r="D685" s="13"/>
      <c r="E685" s="13"/>
      <c r="F685" s="13"/>
      <c r="G685" s="14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4"/>
      <c r="D686" s="13"/>
      <c r="E686" s="13"/>
      <c r="F686" s="13"/>
      <c r="G686" s="14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4"/>
      <c r="D687" s="13"/>
      <c r="E687" s="13"/>
      <c r="F687" s="13"/>
      <c r="G687" s="14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4"/>
      <c r="D688" s="13"/>
      <c r="E688" s="13"/>
      <c r="F688" s="13"/>
      <c r="G688" s="14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4"/>
      <c r="D689" s="13"/>
      <c r="E689" s="13"/>
      <c r="F689" s="13"/>
      <c r="G689" s="14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4"/>
      <c r="D690" s="13"/>
      <c r="E690" s="13"/>
      <c r="F690" s="13"/>
      <c r="G690" s="14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4"/>
      <c r="D691" s="13"/>
      <c r="E691" s="13"/>
      <c r="F691" s="13"/>
      <c r="G691" s="14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4"/>
      <c r="D692" s="13"/>
      <c r="E692" s="13"/>
      <c r="F692" s="13"/>
      <c r="G692" s="14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4"/>
      <c r="D693" s="13"/>
      <c r="E693" s="13"/>
      <c r="F693" s="13"/>
      <c r="G693" s="14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4"/>
      <c r="D694" s="13"/>
      <c r="E694" s="13"/>
      <c r="F694" s="13"/>
      <c r="G694" s="14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4"/>
      <c r="D695" s="13"/>
      <c r="E695" s="13"/>
      <c r="F695" s="13"/>
      <c r="G695" s="14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4"/>
      <c r="D696" s="13"/>
      <c r="E696" s="13"/>
      <c r="F696" s="13"/>
      <c r="G696" s="14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4"/>
      <c r="D697" s="13"/>
      <c r="E697" s="13"/>
      <c r="F697" s="13"/>
      <c r="G697" s="14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4"/>
      <c r="D698" s="13"/>
      <c r="E698" s="13"/>
      <c r="F698" s="13"/>
      <c r="G698" s="14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4"/>
      <c r="D699" s="13"/>
      <c r="E699" s="13"/>
      <c r="F699" s="13"/>
      <c r="G699" s="14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4"/>
      <c r="D700" s="13"/>
      <c r="E700" s="13"/>
      <c r="F700" s="13"/>
      <c r="G700" s="14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4"/>
      <c r="D701" s="13"/>
      <c r="E701" s="13"/>
      <c r="F701" s="13"/>
      <c r="G701" s="14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4"/>
      <c r="D702" s="13"/>
      <c r="E702" s="13"/>
      <c r="F702" s="13"/>
      <c r="G702" s="14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4"/>
      <c r="D703" s="13"/>
      <c r="E703" s="13"/>
      <c r="F703" s="13"/>
      <c r="G703" s="14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4"/>
      <c r="D704" s="13"/>
      <c r="E704" s="13"/>
      <c r="F704" s="13"/>
      <c r="G704" s="14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4"/>
      <c r="D705" s="13"/>
      <c r="E705" s="13"/>
      <c r="F705" s="13"/>
      <c r="G705" s="14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4"/>
      <c r="D706" s="13"/>
      <c r="E706" s="13"/>
      <c r="F706" s="13"/>
      <c r="G706" s="14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4"/>
      <c r="D707" s="13"/>
      <c r="E707" s="13"/>
      <c r="F707" s="13"/>
      <c r="G707" s="14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4"/>
      <c r="D708" s="13"/>
      <c r="E708" s="13"/>
      <c r="F708" s="13"/>
      <c r="G708" s="14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4"/>
      <c r="D709" s="13"/>
      <c r="E709" s="13"/>
      <c r="F709" s="13"/>
      <c r="G709" s="14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4"/>
      <c r="D710" s="13"/>
      <c r="E710" s="13"/>
      <c r="F710" s="13"/>
      <c r="G710" s="14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4"/>
      <c r="D711" s="13"/>
      <c r="E711" s="13"/>
      <c r="F711" s="13"/>
      <c r="G711" s="14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4"/>
      <c r="D712" s="13"/>
      <c r="E712" s="13"/>
      <c r="F712" s="13"/>
      <c r="G712" s="14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4"/>
      <c r="D713" s="13"/>
      <c r="E713" s="13"/>
      <c r="F713" s="13"/>
      <c r="G713" s="14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4"/>
      <c r="D714" s="13"/>
      <c r="E714" s="13"/>
      <c r="F714" s="13"/>
      <c r="G714" s="14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4"/>
      <c r="D715" s="13"/>
      <c r="E715" s="13"/>
      <c r="F715" s="13"/>
      <c r="G715" s="14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4"/>
      <c r="D716" s="13"/>
      <c r="E716" s="13"/>
      <c r="F716" s="13"/>
      <c r="G716" s="14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4"/>
      <c r="D717" s="13"/>
      <c r="E717" s="13"/>
      <c r="F717" s="13"/>
      <c r="G717" s="14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4"/>
      <c r="D718" s="13"/>
      <c r="E718" s="13"/>
      <c r="F718" s="13"/>
      <c r="G718" s="14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4"/>
      <c r="D719" s="13"/>
      <c r="E719" s="13"/>
      <c r="F719" s="13"/>
      <c r="G719" s="14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4"/>
      <c r="D720" s="13"/>
      <c r="E720" s="13"/>
      <c r="F720" s="13"/>
      <c r="G720" s="14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4"/>
      <c r="D721" s="13"/>
      <c r="E721" s="13"/>
      <c r="F721" s="13"/>
      <c r="G721" s="14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4"/>
      <c r="D722" s="13"/>
      <c r="E722" s="13"/>
      <c r="F722" s="13"/>
      <c r="G722" s="14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4"/>
      <c r="D723" s="13"/>
      <c r="E723" s="13"/>
      <c r="F723" s="13"/>
      <c r="G723" s="14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4"/>
      <c r="D724" s="13"/>
      <c r="E724" s="13"/>
      <c r="F724" s="13"/>
      <c r="G724" s="14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4"/>
      <c r="D725" s="13"/>
      <c r="E725" s="13"/>
      <c r="F725" s="13"/>
      <c r="G725" s="14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4"/>
      <c r="D726" s="13"/>
      <c r="E726" s="13"/>
      <c r="F726" s="13"/>
      <c r="G726" s="14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4"/>
      <c r="D727" s="13"/>
      <c r="E727" s="13"/>
      <c r="F727" s="13"/>
      <c r="G727" s="14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4"/>
      <c r="D728" s="13"/>
      <c r="E728" s="13"/>
      <c r="F728" s="13"/>
      <c r="G728" s="14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4"/>
      <c r="D729" s="13"/>
      <c r="E729" s="13"/>
      <c r="F729" s="13"/>
      <c r="G729" s="14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4"/>
      <c r="D730" s="13"/>
      <c r="E730" s="13"/>
      <c r="F730" s="13"/>
      <c r="G730" s="14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4"/>
      <c r="D731" s="13"/>
      <c r="E731" s="13"/>
      <c r="F731" s="13"/>
      <c r="G731" s="14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4"/>
      <c r="D732" s="13"/>
      <c r="E732" s="13"/>
      <c r="F732" s="13"/>
      <c r="G732" s="14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4"/>
      <c r="D733" s="13"/>
      <c r="E733" s="13"/>
      <c r="F733" s="13"/>
      <c r="G733" s="14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4"/>
      <c r="D734" s="13"/>
      <c r="E734" s="13"/>
      <c r="F734" s="13"/>
      <c r="G734" s="14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4"/>
      <c r="D735" s="13"/>
      <c r="E735" s="13"/>
      <c r="F735" s="13"/>
      <c r="G735" s="14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4"/>
      <c r="D736" s="13"/>
      <c r="E736" s="13"/>
      <c r="F736" s="13"/>
      <c r="G736" s="14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4"/>
      <c r="D737" s="13"/>
      <c r="E737" s="13"/>
      <c r="F737" s="13"/>
      <c r="G737" s="14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4"/>
      <c r="D738" s="13"/>
      <c r="E738" s="13"/>
      <c r="F738" s="13"/>
      <c r="G738" s="14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4"/>
      <c r="D739" s="13"/>
      <c r="E739" s="13"/>
      <c r="F739" s="13"/>
      <c r="G739" s="14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4"/>
      <c r="D740" s="13"/>
      <c r="E740" s="13"/>
      <c r="F740" s="13"/>
      <c r="G740" s="14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4"/>
      <c r="D741" s="13"/>
      <c r="E741" s="13"/>
      <c r="F741" s="13"/>
      <c r="G741" s="14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4"/>
      <c r="D742" s="13"/>
      <c r="E742" s="13"/>
      <c r="F742" s="13"/>
      <c r="G742" s="14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4"/>
      <c r="D743" s="13"/>
      <c r="E743" s="13"/>
      <c r="F743" s="13"/>
      <c r="G743" s="14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4"/>
      <c r="D744" s="13"/>
      <c r="E744" s="13"/>
      <c r="F744" s="13"/>
      <c r="G744" s="14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4"/>
      <c r="D745" s="13"/>
      <c r="E745" s="13"/>
      <c r="F745" s="13"/>
      <c r="G745" s="14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4"/>
      <c r="D746" s="13"/>
      <c r="E746" s="13"/>
      <c r="F746" s="13"/>
      <c r="G746" s="14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4"/>
      <c r="D747" s="13"/>
      <c r="E747" s="13"/>
      <c r="F747" s="13"/>
      <c r="G747" s="14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4"/>
      <c r="D748" s="13"/>
      <c r="E748" s="13"/>
      <c r="F748" s="13"/>
      <c r="G748" s="14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4"/>
      <c r="D749" s="13"/>
      <c r="E749" s="13"/>
      <c r="F749" s="13"/>
      <c r="G749" s="14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4"/>
      <c r="D750" s="13"/>
      <c r="E750" s="13"/>
      <c r="F750" s="13"/>
      <c r="G750" s="14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4"/>
      <c r="D751" s="13"/>
      <c r="E751" s="13"/>
      <c r="F751" s="13"/>
      <c r="G751" s="14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4"/>
      <c r="D752" s="13"/>
      <c r="E752" s="13"/>
      <c r="F752" s="13"/>
      <c r="G752" s="14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4"/>
      <c r="D753" s="13"/>
      <c r="E753" s="13"/>
      <c r="F753" s="13"/>
      <c r="G753" s="14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4"/>
      <c r="D754" s="13"/>
      <c r="E754" s="13"/>
      <c r="F754" s="13"/>
      <c r="G754" s="14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4"/>
      <c r="D755" s="13"/>
      <c r="E755" s="13"/>
      <c r="F755" s="13"/>
      <c r="G755" s="14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4"/>
      <c r="D756" s="13"/>
      <c r="E756" s="13"/>
      <c r="F756" s="13"/>
      <c r="G756" s="14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4"/>
      <c r="D757" s="13"/>
      <c r="E757" s="13"/>
      <c r="F757" s="13"/>
      <c r="G757" s="14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4"/>
      <c r="D758" s="13"/>
      <c r="E758" s="13"/>
      <c r="F758" s="13"/>
      <c r="G758" s="14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4"/>
      <c r="D759" s="13"/>
      <c r="E759" s="13"/>
      <c r="F759" s="13"/>
      <c r="G759" s="14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4"/>
      <c r="D760" s="13"/>
      <c r="E760" s="13"/>
      <c r="F760" s="13"/>
      <c r="G760" s="14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4"/>
      <c r="D761" s="13"/>
      <c r="E761" s="13"/>
      <c r="F761" s="13"/>
      <c r="G761" s="14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4"/>
      <c r="D762" s="13"/>
      <c r="E762" s="13"/>
      <c r="F762" s="13"/>
      <c r="G762" s="14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4"/>
      <c r="D763" s="13"/>
      <c r="E763" s="13"/>
      <c r="F763" s="13"/>
      <c r="G763" s="14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4"/>
      <c r="D764" s="13"/>
      <c r="E764" s="13"/>
      <c r="F764" s="13"/>
      <c r="G764" s="14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4"/>
      <c r="D765" s="13"/>
      <c r="E765" s="13"/>
      <c r="F765" s="13"/>
      <c r="G765" s="14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4"/>
      <c r="D766" s="13"/>
      <c r="E766" s="13"/>
      <c r="F766" s="13"/>
      <c r="G766" s="14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4"/>
      <c r="D767" s="13"/>
      <c r="E767" s="13"/>
      <c r="F767" s="13"/>
      <c r="G767" s="14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4"/>
      <c r="D768" s="13"/>
      <c r="E768" s="13"/>
      <c r="F768" s="13"/>
      <c r="G768" s="14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4"/>
      <c r="D769" s="13"/>
      <c r="E769" s="13"/>
      <c r="F769" s="13"/>
      <c r="G769" s="14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4"/>
      <c r="D770" s="13"/>
      <c r="E770" s="13"/>
      <c r="F770" s="13"/>
      <c r="G770" s="14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4"/>
      <c r="D771" s="13"/>
      <c r="E771" s="13"/>
      <c r="F771" s="13"/>
      <c r="G771" s="14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4"/>
      <c r="D772" s="13"/>
      <c r="E772" s="13"/>
      <c r="F772" s="13"/>
      <c r="G772" s="14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4"/>
      <c r="D773" s="13"/>
      <c r="E773" s="13"/>
      <c r="F773" s="13"/>
      <c r="G773" s="14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4"/>
      <c r="D774" s="13"/>
      <c r="E774" s="13"/>
      <c r="F774" s="13"/>
      <c r="G774" s="14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4"/>
      <c r="D775" s="13"/>
      <c r="E775" s="13"/>
      <c r="F775" s="13"/>
      <c r="G775" s="14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4"/>
      <c r="D776" s="13"/>
      <c r="E776" s="13"/>
      <c r="F776" s="13"/>
      <c r="G776" s="14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4"/>
      <c r="D777" s="13"/>
      <c r="E777" s="13"/>
      <c r="F777" s="13"/>
      <c r="G777" s="14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4"/>
      <c r="D778" s="13"/>
      <c r="E778" s="13"/>
      <c r="F778" s="13"/>
      <c r="G778" s="14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4"/>
      <c r="D779" s="13"/>
      <c r="E779" s="13"/>
      <c r="F779" s="13"/>
      <c r="G779" s="14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4"/>
      <c r="D780" s="13"/>
      <c r="E780" s="13"/>
      <c r="F780" s="13"/>
      <c r="G780" s="14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4"/>
      <c r="D781" s="13"/>
      <c r="E781" s="13"/>
      <c r="F781" s="13"/>
      <c r="G781" s="14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4"/>
      <c r="D782" s="13"/>
      <c r="E782" s="13"/>
      <c r="F782" s="13"/>
      <c r="G782" s="14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4"/>
      <c r="D783" s="13"/>
      <c r="E783" s="13"/>
      <c r="F783" s="13"/>
      <c r="G783" s="14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4"/>
      <c r="D784" s="13"/>
      <c r="E784" s="13"/>
      <c r="F784" s="13"/>
      <c r="G784" s="14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4"/>
      <c r="D785" s="13"/>
      <c r="E785" s="13"/>
      <c r="F785" s="13"/>
      <c r="G785" s="14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4"/>
      <c r="D786" s="13"/>
      <c r="E786" s="13"/>
      <c r="F786" s="13"/>
      <c r="G786" s="14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4"/>
      <c r="D787" s="13"/>
      <c r="E787" s="13"/>
      <c r="F787" s="13"/>
      <c r="G787" s="14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4"/>
      <c r="D788" s="13"/>
      <c r="E788" s="13"/>
      <c r="F788" s="13"/>
      <c r="G788" s="14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4"/>
      <c r="D789" s="13"/>
      <c r="E789" s="13"/>
      <c r="F789" s="13"/>
      <c r="G789" s="14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4"/>
      <c r="D790" s="13"/>
      <c r="E790" s="13"/>
      <c r="F790" s="13"/>
      <c r="G790" s="14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4"/>
      <c r="D791" s="13"/>
      <c r="E791" s="13"/>
      <c r="F791" s="13"/>
      <c r="G791" s="14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4"/>
      <c r="D792" s="13"/>
      <c r="E792" s="13"/>
      <c r="F792" s="13"/>
      <c r="G792" s="14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4"/>
      <c r="D793" s="13"/>
      <c r="E793" s="13"/>
      <c r="F793" s="13"/>
      <c r="G793" s="14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4"/>
      <c r="D794" s="13"/>
      <c r="E794" s="13"/>
      <c r="F794" s="13"/>
      <c r="G794" s="14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4"/>
      <c r="D795" s="13"/>
      <c r="E795" s="13"/>
      <c r="F795" s="13"/>
      <c r="G795" s="14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4"/>
      <c r="D796" s="13"/>
      <c r="E796" s="13"/>
      <c r="F796" s="13"/>
      <c r="G796" s="14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4"/>
      <c r="D797" s="13"/>
      <c r="E797" s="13"/>
      <c r="F797" s="13"/>
      <c r="G797" s="14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4"/>
      <c r="D798" s="13"/>
      <c r="E798" s="13"/>
      <c r="F798" s="13"/>
      <c r="G798" s="14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4"/>
      <c r="D799" s="13"/>
      <c r="E799" s="13"/>
      <c r="F799" s="13"/>
      <c r="G799" s="14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4"/>
      <c r="D800" s="13"/>
      <c r="E800" s="13"/>
      <c r="F800" s="13"/>
      <c r="G800" s="14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4"/>
      <c r="D801" s="13"/>
      <c r="E801" s="13"/>
      <c r="F801" s="13"/>
      <c r="G801" s="14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4"/>
      <c r="D802" s="13"/>
      <c r="E802" s="13"/>
      <c r="F802" s="13"/>
      <c r="G802" s="14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4"/>
      <c r="D803" s="13"/>
      <c r="E803" s="13"/>
      <c r="F803" s="13"/>
      <c r="G803" s="14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4"/>
      <c r="D804" s="13"/>
      <c r="E804" s="13"/>
      <c r="F804" s="13"/>
      <c r="G804" s="14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4"/>
      <c r="D805" s="13"/>
      <c r="E805" s="13"/>
      <c r="F805" s="13"/>
      <c r="G805" s="14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4"/>
      <c r="D806" s="13"/>
      <c r="E806" s="13"/>
      <c r="F806" s="13"/>
      <c r="G806" s="14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4"/>
      <c r="D807" s="13"/>
      <c r="E807" s="13"/>
      <c r="F807" s="13"/>
      <c r="G807" s="14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4"/>
      <c r="D808" s="13"/>
      <c r="E808" s="13"/>
      <c r="F808" s="13"/>
      <c r="G808" s="14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4"/>
      <c r="D809" s="13"/>
      <c r="E809" s="13"/>
      <c r="F809" s="13"/>
      <c r="G809" s="14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4"/>
      <c r="D810" s="13"/>
      <c r="E810" s="13"/>
      <c r="F810" s="13"/>
      <c r="G810" s="14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4"/>
      <c r="D811" s="13"/>
      <c r="E811" s="13"/>
      <c r="F811" s="13"/>
      <c r="G811" s="14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4"/>
      <c r="D812" s="13"/>
      <c r="E812" s="13"/>
      <c r="F812" s="13"/>
      <c r="G812" s="14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4"/>
      <c r="D813" s="13"/>
      <c r="E813" s="13"/>
      <c r="F813" s="13"/>
      <c r="G813" s="14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4"/>
      <c r="D814" s="13"/>
      <c r="E814" s="13"/>
      <c r="F814" s="13"/>
      <c r="G814" s="14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4"/>
      <c r="D815" s="13"/>
      <c r="E815" s="13"/>
      <c r="F815" s="13"/>
      <c r="G815" s="14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4"/>
      <c r="D816" s="13"/>
      <c r="E816" s="13"/>
      <c r="F816" s="13"/>
      <c r="G816" s="14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4"/>
      <c r="D817" s="13"/>
      <c r="E817" s="13"/>
      <c r="F817" s="13"/>
      <c r="G817" s="14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4"/>
      <c r="D818" s="13"/>
      <c r="E818" s="13"/>
      <c r="F818" s="13"/>
      <c r="G818" s="14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4"/>
      <c r="D819" s="13"/>
      <c r="E819" s="13"/>
      <c r="F819" s="13"/>
      <c r="G819" s="14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4"/>
      <c r="D820" s="13"/>
      <c r="E820" s="13"/>
      <c r="F820" s="13"/>
      <c r="G820" s="14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4"/>
      <c r="D821" s="13"/>
      <c r="E821" s="13"/>
      <c r="F821" s="13"/>
      <c r="G821" s="14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4"/>
      <c r="D822" s="13"/>
      <c r="E822" s="13"/>
      <c r="F822" s="13"/>
      <c r="G822" s="14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4"/>
      <c r="D823" s="13"/>
      <c r="E823" s="13"/>
      <c r="F823" s="13"/>
      <c r="G823" s="14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4"/>
      <c r="D824" s="13"/>
      <c r="E824" s="13"/>
      <c r="F824" s="13"/>
      <c r="G824" s="14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4"/>
      <c r="D825" s="13"/>
      <c r="E825" s="13"/>
      <c r="F825" s="13"/>
      <c r="G825" s="14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4"/>
      <c r="D826" s="13"/>
      <c r="E826" s="13"/>
      <c r="F826" s="13"/>
      <c r="G826" s="14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4"/>
      <c r="D827" s="13"/>
      <c r="E827" s="13"/>
      <c r="F827" s="13"/>
      <c r="G827" s="14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4"/>
      <c r="D828" s="13"/>
      <c r="E828" s="13"/>
      <c r="F828" s="13"/>
      <c r="G828" s="14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4"/>
      <c r="D829" s="13"/>
      <c r="E829" s="13"/>
      <c r="F829" s="13"/>
      <c r="G829" s="14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4"/>
      <c r="D830" s="13"/>
      <c r="E830" s="13"/>
      <c r="F830" s="13"/>
      <c r="G830" s="14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4"/>
      <c r="D831" s="13"/>
      <c r="E831" s="13"/>
      <c r="F831" s="13"/>
      <c r="G831" s="14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4"/>
      <c r="D832" s="13"/>
      <c r="E832" s="13"/>
      <c r="F832" s="13"/>
      <c r="G832" s="14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4"/>
      <c r="D833" s="13"/>
      <c r="E833" s="13"/>
      <c r="F833" s="13"/>
      <c r="G833" s="14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4"/>
      <c r="D834" s="13"/>
      <c r="E834" s="13"/>
      <c r="F834" s="13"/>
      <c r="G834" s="14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4"/>
      <c r="D835" s="13"/>
      <c r="E835" s="13"/>
      <c r="F835" s="13"/>
      <c r="G835" s="14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4"/>
      <c r="D836" s="13"/>
      <c r="E836" s="13"/>
      <c r="F836" s="13"/>
      <c r="G836" s="14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4"/>
      <c r="D837" s="13"/>
      <c r="E837" s="13"/>
      <c r="F837" s="13"/>
      <c r="G837" s="14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4"/>
      <c r="D838" s="13"/>
      <c r="E838" s="13"/>
      <c r="F838" s="13"/>
      <c r="G838" s="14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4"/>
      <c r="D839" s="13"/>
      <c r="E839" s="13"/>
      <c r="F839" s="13"/>
      <c r="G839" s="14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4"/>
      <c r="D840" s="13"/>
      <c r="E840" s="13"/>
      <c r="F840" s="13"/>
      <c r="G840" s="14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4"/>
      <c r="D841" s="13"/>
      <c r="E841" s="13"/>
      <c r="F841" s="13"/>
      <c r="G841" s="14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4"/>
      <c r="D842" s="13"/>
      <c r="E842" s="13"/>
      <c r="F842" s="13"/>
      <c r="G842" s="14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4"/>
      <c r="D843" s="13"/>
      <c r="E843" s="13"/>
      <c r="F843" s="13"/>
      <c r="G843" s="14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4"/>
      <c r="D844" s="13"/>
      <c r="E844" s="13"/>
      <c r="F844" s="13"/>
      <c r="G844" s="14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4"/>
      <c r="D845" s="13"/>
      <c r="E845" s="13"/>
      <c r="F845" s="13"/>
      <c r="G845" s="14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4"/>
      <c r="D846" s="13"/>
      <c r="E846" s="13"/>
      <c r="F846" s="13"/>
      <c r="G846" s="14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4"/>
      <c r="D847" s="13"/>
      <c r="E847" s="13"/>
      <c r="F847" s="13"/>
      <c r="G847" s="14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4"/>
      <c r="D848" s="13"/>
      <c r="E848" s="13"/>
      <c r="F848" s="13"/>
      <c r="G848" s="14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4"/>
      <c r="D849" s="13"/>
      <c r="E849" s="13"/>
      <c r="F849" s="13"/>
      <c r="G849" s="14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4"/>
      <c r="D850" s="13"/>
      <c r="E850" s="13"/>
      <c r="F850" s="13"/>
      <c r="G850" s="14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4"/>
      <c r="D851" s="13"/>
      <c r="E851" s="13"/>
      <c r="F851" s="13"/>
      <c r="G851" s="14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4"/>
      <c r="D852" s="13"/>
      <c r="E852" s="13"/>
      <c r="F852" s="13"/>
      <c r="G852" s="14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4"/>
      <c r="D853" s="13"/>
      <c r="E853" s="13"/>
      <c r="F853" s="13"/>
      <c r="G853" s="14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4"/>
      <c r="D854" s="13"/>
      <c r="E854" s="13"/>
      <c r="F854" s="13"/>
      <c r="G854" s="14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4"/>
      <c r="D855" s="13"/>
      <c r="E855" s="13"/>
      <c r="F855" s="13"/>
      <c r="G855" s="14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4"/>
      <c r="D856" s="13"/>
      <c r="E856" s="13"/>
      <c r="F856" s="13"/>
      <c r="G856" s="14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4"/>
      <c r="D857" s="13"/>
      <c r="E857" s="13"/>
      <c r="F857" s="13"/>
      <c r="G857" s="14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4"/>
      <c r="D858" s="13"/>
      <c r="E858" s="13"/>
      <c r="F858" s="13"/>
      <c r="G858" s="14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4"/>
      <c r="D859" s="13"/>
      <c r="E859" s="13"/>
      <c r="F859" s="13"/>
      <c r="G859" s="14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4"/>
      <c r="D860" s="13"/>
      <c r="E860" s="13"/>
      <c r="F860" s="13"/>
      <c r="G860" s="14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4"/>
      <c r="D861" s="13"/>
      <c r="E861" s="13"/>
      <c r="F861" s="13"/>
      <c r="G861" s="14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4"/>
      <c r="D862" s="13"/>
      <c r="E862" s="13"/>
      <c r="F862" s="13"/>
      <c r="G862" s="14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4"/>
      <c r="D863" s="13"/>
      <c r="E863" s="13"/>
      <c r="F863" s="13"/>
      <c r="G863" s="14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4"/>
      <c r="D864" s="13"/>
      <c r="E864" s="13"/>
      <c r="F864" s="13"/>
      <c r="G864" s="14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4"/>
      <c r="D865" s="13"/>
      <c r="E865" s="13"/>
      <c r="F865" s="13"/>
      <c r="G865" s="14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4"/>
      <c r="D866" s="13"/>
      <c r="E866" s="13"/>
      <c r="F866" s="13"/>
      <c r="G866" s="14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4"/>
      <c r="D867" s="13"/>
      <c r="E867" s="13"/>
      <c r="F867" s="13"/>
      <c r="G867" s="14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4"/>
      <c r="D868" s="13"/>
      <c r="E868" s="13"/>
      <c r="F868" s="13"/>
      <c r="G868" s="14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4"/>
      <c r="D869" s="13"/>
      <c r="E869" s="13"/>
      <c r="F869" s="13"/>
      <c r="G869" s="14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4"/>
      <c r="D870" s="13"/>
      <c r="E870" s="13"/>
      <c r="F870" s="13"/>
      <c r="G870" s="14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4"/>
      <c r="D871" s="13"/>
      <c r="E871" s="13"/>
      <c r="F871" s="13"/>
      <c r="G871" s="14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4"/>
      <c r="D872" s="13"/>
      <c r="E872" s="13"/>
      <c r="F872" s="13"/>
      <c r="G872" s="14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4"/>
      <c r="D873" s="13"/>
      <c r="E873" s="13"/>
      <c r="F873" s="13"/>
      <c r="G873" s="14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4"/>
      <c r="D874" s="13"/>
      <c r="E874" s="13"/>
      <c r="F874" s="13"/>
      <c r="G874" s="14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4"/>
      <c r="D875" s="13"/>
      <c r="E875" s="13"/>
      <c r="F875" s="13"/>
      <c r="G875" s="14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4"/>
      <c r="D876" s="13"/>
      <c r="E876" s="13"/>
      <c r="F876" s="13"/>
      <c r="G876" s="14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4"/>
      <c r="D877" s="13"/>
      <c r="E877" s="13"/>
      <c r="F877" s="13"/>
      <c r="G877" s="14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4"/>
      <c r="D878" s="13"/>
      <c r="E878" s="13"/>
      <c r="F878" s="13"/>
      <c r="G878" s="14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4"/>
      <c r="D879" s="13"/>
      <c r="E879" s="13"/>
      <c r="F879" s="13"/>
      <c r="G879" s="14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4"/>
      <c r="D880" s="13"/>
      <c r="E880" s="13"/>
      <c r="F880" s="13"/>
      <c r="G880" s="14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4"/>
      <c r="D881" s="13"/>
      <c r="E881" s="13"/>
      <c r="F881" s="13"/>
      <c r="G881" s="14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4"/>
      <c r="D882" s="13"/>
      <c r="E882" s="13"/>
      <c r="F882" s="13"/>
      <c r="G882" s="14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4"/>
      <c r="D883" s="13"/>
      <c r="E883" s="13"/>
      <c r="F883" s="13"/>
      <c r="G883" s="14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4"/>
      <c r="D884" s="13"/>
      <c r="E884" s="13"/>
      <c r="F884" s="13"/>
      <c r="G884" s="14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4"/>
      <c r="D885" s="13"/>
      <c r="E885" s="13"/>
      <c r="F885" s="13"/>
      <c r="G885" s="14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4"/>
      <c r="D886" s="13"/>
      <c r="E886" s="13"/>
      <c r="F886" s="13"/>
      <c r="G886" s="14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4"/>
      <c r="D887" s="13"/>
      <c r="E887" s="13"/>
      <c r="F887" s="13"/>
      <c r="G887" s="14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4"/>
      <c r="D888" s="13"/>
      <c r="E888" s="13"/>
      <c r="F888" s="13"/>
      <c r="G888" s="14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4"/>
      <c r="D889" s="13"/>
      <c r="E889" s="13"/>
      <c r="F889" s="13"/>
      <c r="G889" s="14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4"/>
      <c r="D890" s="13"/>
      <c r="E890" s="13"/>
      <c r="F890" s="13"/>
      <c r="G890" s="14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4"/>
      <c r="D891" s="13"/>
      <c r="E891" s="13"/>
      <c r="F891" s="13"/>
      <c r="G891" s="14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4"/>
      <c r="D892" s="13"/>
      <c r="E892" s="13"/>
      <c r="F892" s="13"/>
      <c r="G892" s="14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4"/>
      <c r="D893" s="13"/>
      <c r="E893" s="13"/>
      <c r="F893" s="13"/>
      <c r="G893" s="14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4"/>
      <c r="D894" s="13"/>
      <c r="E894" s="13"/>
      <c r="F894" s="13"/>
      <c r="G894" s="14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4"/>
      <c r="D895" s="13"/>
      <c r="E895" s="13"/>
      <c r="F895" s="13"/>
      <c r="G895" s="14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4"/>
      <c r="D896" s="13"/>
      <c r="E896" s="13"/>
      <c r="F896" s="13"/>
      <c r="G896" s="14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4"/>
      <c r="D897" s="13"/>
      <c r="E897" s="13"/>
      <c r="F897" s="13"/>
      <c r="G897" s="14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4"/>
      <c r="D898" s="13"/>
      <c r="E898" s="13"/>
      <c r="F898" s="13"/>
      <c r="G898" s="14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4"/>
      <c r="D899" s="13"/>
      <c r="E899" s="13"/>
      <c r="F899" s="13"/>
      <c r="G899" s="14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4"/>
      <c r="D900" s="13"/>
      <c r="E900" s="13"/>
      <c r="F900" s="13"/>
      <c r="G900" s="14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4"/>
      <c r="D901" s="13"/>
      <c r="E901" s="13"/>
      <c r="F901" s="13"/>
      <c r="G901" s="14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4"/>
      <c r="D902" s="13"/>
      <c r="E902" s="13"/>
      <c r="F902" s="13"/>
      <c r="G902" s="14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4"/>
      <c r="D903" s="13"/>
      <c r="E903" s="13"/>
      <c r="F903" s="13"/>
      <c r="G903" s="14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4"/>
      <c r="D904" s="13"/>
      <c r="E904" s="13"/>
      <c r="F904" s="13"/>
      <c r="G904" s="14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4"/>
      <c r="D905" s="13"/>
      <c r="E905" s="13"/>
      <c r="F905" s="13"/>
      <c r="G905" s="14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4"/>
      <c r="D906" s="13"/>
      <c r="E906" s="13"/>
      <c r="F906" s="13"/>
      <c r="G906" s="14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4"/>
      <c r="D907" s="13"/>
      <c r="E907" s="13"/>
      <c r="F907" s="13"/>
      <c r="G907" s="14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4"/>
      <c r="D908" s="13"/>
      <c r="E908" s="13"/>
      <c r="F908" s="13"/>
      <c r="G908" s="14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4"/>
      <c r="D909" s="13"/>
      <c r="E909" s="13"/>
      <c r="F909" s="13"/>
      <c r="G909" s="14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4"/>
      <c r="D910" s="13"/>
      <c r="E910" s="13"/>
      <c r="F910" s="13"/>
      <c r="G910" s="14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4"/>
      <c r="D911" s="13"/>
      <c r="E911" s="13"/>
      <c r="F911" s="13"/>
      <c r="G911" s="14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4"/>
      <c r="D912" s="13"/>
      <c r="E912" s="13"/>
      <c r="F912" s="13"/>
      <c r="G912" s="14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4"/>
      <c r="D913" s="13"/>
      <c r="E913" s="13"/>
      <c r="F913" s="13"/>
      <c r="G913" s="14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4"/>
      <c r="D914" s="13"/>
      <c r="E914" s="13"/>
      <c r="F914" s="13"/>
      <c r="G914" s="14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4"/>
      <c r="D915" s="13"/>
      <c r="E915" s="13"/>
      <c r="F915" s="13"/>
      <c r="G915" s="14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4"/>
      <c r="D916" s="13"/>
      <c r="E916" s="13"/>
      <c r="F916" s="13"/>
      <c r="G916" s="14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4"/>
      <c r="D917" s="13"/>
      <c r="E917" s="13"/>
      <c r="F917" s="13"/>
      <c r="G917" s="14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4"/>
      <c r="D918" s="13"/>
      <c r="E918" s="13"/>
      <c r="F918" s="13"/>
      <c r="G918" s="14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4"/>
      <c r="D919" s="13"/>
      <c r="E919" s="13"/>
      <c r="F919" s="13"/>
      <c r="G919" s="14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4"/>
      <c r="D920" s="13"/>
      <c r="E920" s="13"/>
      <c r="F920" s="13"/>
      <c r="G920" s="14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4"/>
      <c r="D921" s="13"/>
      <c r="E921" s="13"/>
      <c r="F921" s="13"/>
      <c r="G921" s="14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4"/>
      <c r="D922" s="13"/>
      <c r="E922" s="13"/>
      <c r="F922" s="13"/>
      <c r="G922" s="14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4"/>
      <c r="D923" s="13"/>
      <c r="E923" s="13"/>
      <c r="F923" s="13"/>
      <c r="G923" s="14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4"/>
      <c r="D924" s="13"/>
      <c r="E924" s="13"/>
      <c r="F924" s="13"/>
      <c r="G924" s="14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4"/>
      <c r="D925" s="13"/>
      <c r="E925" s="13"/>
      <c r="F925" s="13"/>
      <c r="G925" s="14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4"/>
      <c r="D926" s="13"/>
      <c r="E926" s="13"/>
      <c r="F926" s="13"/>
      <c r="G926" s="14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4"/>
      <c r="D927" s="13"/>
      <c r="E927" s="13"/>
      <c r="F927" s="13"/>
      <c r="G927" s="14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4"/>
      <c r="D928" s="13"/>
      <c r="E928" s="13"/>
      <c r="F928" s="13"/>
      <c r="G928" s="14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4"/>
      <c r="D929" s="13"/>
      <c r="E929" s="13"/>
      <c r="F929" s="13"/>
      <c r="G929" s="14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4"/>
      <c r="D930" s="13"/>
      <c r="E930" s="13"/>
      <c r="F930" s="13"/>
      <c r="G930" s="14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4"/>
      <c r="D931" s="13"/>
      <c r="E931" s="13"/>
      <c r="F931" s="13"/>
      <c r="G931" s="14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4"/>
      <c r="D932" s="13"/>
      <c r="E932" s="13"/>
      <c r="F932" s="13"/>
      <c r="G932" s="14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4"/>
      <c r="D933" s="13"/>
      <c r="E933" s="13"/>
      <c r="F933" s="13"/>
      <c r="G933" s="14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4"/>
      <c r="D934" s="13"/>
      <c r="E934" s="13"/>
      <c r="F934" s="13"/>
      <c r="G934" s="14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4"/>
      <c r="D935" s="13"/>
      <c r="E935" s="13"/>
      <c r="F935" s="13"/>
      <c r="G935" s="14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4"/>
      <c r="D936" s="13"/>
      <c r="E936" s="13"/>
      <c r="F936" s="13"/>
      <c r="G936" s="14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4"/>
      <c r="D937" s="13"/>
      <c r="E937" s="13"/>
      <c r="F937" s="13"/>
      <c r="G937" s="14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4"/>
      <c r="D938" s="13"/>
      <c r="E938" s="13"/>
      <c r="F938" s="13"/>
      <c r="G938" s="14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4"/>
      <c r="D939" s="13"/>
      <c r="E939" s="13"/>
      <c r="F939" s="13"/>
      <c r="G939" s="14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4"/>
      <c r="D940" s="13"/>
      <c r="E940" s="13"/>
      <c r="F940" s="13"/>
      <c r="G940" s="14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4"/>
      <c r="D941" s="13"/>
      <c r="E941" s="13"/>
      <c r="F941" s="13"/>
      <c r="G941" s="14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4"/>
      <c r="D942" s="13"/>
      <c r="E942" s="13"/>
      <c r="F942" s="13"/>
      <c r="G942" s="14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4"/>
      <c r="D943" s="13"/>
      <c r="E943" s="13"/>
      <c r="F943" s="13"/>
      <c r="G943" s="14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4"/>
      <c r="D944" s="13"/>
      <c r="E944" s="13"/>
      <c r="F944" s="13"/>
      <c r="G944" s="14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4"/>
      <c r="D945" s="13"/>
      <c r="E945" s="13"/>
      <c r="F945" s="13"/>
      <c r="G945" s="14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4"/>
      <c r="D946" s="13"/>
      <c r="E946" s="13"/>
      <c r="F946" s="13"/>
      <c r="G946" s="14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4"/>
      <c r="D947" s="13"/>
      <c r="E947" s="13"/>
      <c r="F947" s="13"/>
      <c r="G947" s="14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4"/>
      <c r="D948" s="13"/>
      <c r="E948" s="13"/>
      <c r="F948" s="13"/>
      <c r="G948" s="14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4"/>
      <c r="D949" s="13"/>
      <c r="E949" s="13"/>
      <c r="F949" s="13"/>
      <c r="G949" s="14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4"/>
      <c r="D950" s="13"/>
      <c r="E950" s="13"/>
      <c r="F950" s="13"/>
      <c r="G950" s="14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4"/>
      <c r="D951" s="13"/>
      <c r="E951" s="13"/>
      <c r="F951" s="13"/>
      <c r="G951" s="14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4"/>
      <c r="D952" s="13"/>
      <c r="E952" s="13"/>
      <c r="F952" s="13"/>
      <c r="G952" s="14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4"/>
      <c r="D953" s="13"/>
      <c r="E953" s="13"/>
      <c r="F953" s="13"/>
      <c r="G953" s="14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4"/>
      <c r="D954" s="13"/>
      <c r="E954" s="13"/>
      <c r="F954" s="13"/>
      <c r="G954" s="14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4"/>
      <c r="D955" s="13"/>
      <c r="E955" s="13"/>
      <c r="F955" s="13"/>
      <c r="G955" s="14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4"/>
      <c r="D956" s="13"/>
      <c r="E956" s="13"/>
      <c r="F956" s="13"/>
      <c r="G956" s="14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4"/>
      <c r="D957" s="13"/>
      <c r="E957" s="13"/>
      <c r="F957" s="13"/>
      <c r="G957" s="14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4"/>
      <c r="D958" s="13"/>
      <c r="E958" s="13"/>
      <c r="F958" s="13"/>
      <c r="G958" s="14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4"/>
      <c r="D959" s="13"/>
      <c r="E959" s="13"/>
      <c r="F959" s="13"/>
      <c r="G959" s="14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4"/>
      <c r="D960" s="13"/>
      <c r="E960" s="13"/>
      <c r="F960" s="13"/>
      <c r="G960" s="14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4"/>
      <c r="D961" s="13"/>
      <c r="E961" s="13"/>
      <c r="F961" s="13"/>
      <c r="G961" s="14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4"/>
      <c r="D962" s="13"/>
      <c r="E962" s="13"/>
      <c r="F962" s="13"/>
      <c r="G962" s="14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4"/>
      <c r="D963" s="13"/>
      <c r="E963" s="13"/>
      <c r="F963" s="13"/>
      <c r="G963" s="14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4"/>
      <c r="D964" s="13"/>
      <c r="E964" s="13"/>
      <c r="F964" s="13"/>
      <c r="G964" s="14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4"/>
      <c r="D965" s="13"/>
      <c r="E965" s="13"/>
      <c r="F965" s="13"/>
      <c r="G965" s="14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4"/>
      <c r="D966" s="13"/>
      <c r="E966" s="13"/>
      <c r="F966" s="13"/>
      <c r="G966" s="14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4"/>
      <c r="D967" s="13"/>
      <c r="E967" s="13"/>
      <c r="F967" s="13"/>
      <c r="G967" s="14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4"/>
      <c r="D968" s="13"/>
      <c r="E968" s="13"/>
      <c r="F968" s="13"/>
      <c r="G968" s="14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4"/>
      <c r="D969" s="13"/>
      <c r="E969" s="13"/>
      <c r="F969" s="13"/>
      <c r="G969" s="14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4"/>
      <c r="D970" s="13"/>
      <c r="E970" s="13"/>
      <c r="F970" s="13"/>
      <c r="G970" s="14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4"/>
      <c r="D971" s="13"/>
      <c r="E971" s="13"/>
      <c r="F971" s="13"/>
      <c r="G971" s="14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4"/>
      <c r="D972" s="13"/>
      <c r="E972" s="13"/>
      <c r="F972" s="13"/>
      <c r="G972" s="14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4"/>
      <c r="D973" s="13"/>
      <c r="E973" s="13"/>
      <c r="F973" s="13"/>
      <c r="G973" s="14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4"/>
      <c r="D974" s="13"/>
      <c r="E974" s="13"/>
      <c r="F974" s="13"/>
      <c r="G974" s="14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4"/>
      <c r="D975" s="13"/>
      <c r="E975" s="13"/>
      <c r="F975" s="13"/>
      <c r="G975" s="14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4"/>
      <c r="D976" s="13"/>
      <c r="E976" s="13"/>
      <c r="F976" s="13"/>
      <c r="G976" s="14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4"/>
      <c r="D977" s="13"/>
      <c r="E977" s="13"/>
      <c r="F977" s="13"/>
      <c r="G977" s="14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4"/>
      <c r="D978" s="13"/>
      <c r="E978" s="13"/>
      <c r="F978" s="13"/>
      <c r="G978" s="14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4"/>
      <c r="D979" s="13"/>
      <c r="E979" s="13"/>
      <c r="F979" s="13"/>
      <c r="G979" s="14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4"/>
      <c r="D980" s="13"/>
      <c r="E980" s="13"/>
      <c r="F980" s="13"/>
      <c r="G980" s="14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4"/>
      <c r="D981" s="13"/>
      <c r="E981" s="13"/>
      <c r="F981" s="13"/>
      <c r="G981" s="14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4"/>
      <c r="D982" s="13"/>
      <c r="E982" s="13"/>
      <c r="F982" s="13"/>
      <c r="G982" s="14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4"/>
      <c r="D983" s="13"/>
      <c r="E983" s="13"/>
      <c r="F983" s="13"/>
      <c r="G983" s="14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4"/>
      <c r="D984" s="13"/>
      <c r="E984" s="13"/>
      <c r="F984" s="13"/>
      <c r="G984" s="14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4"/>
      <c r="D985" s="13"/>
      <c r="E985" s="13"/>
      <c r="F985" s="13"/>
      <c r="G985" s="14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4"/>
      <c r="D986" s="13"/>
      <c r="E986" s="13"/>
      <c r="F986" s="13"/>
      <c r="G986" s="14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4"/>
      <c r="D987" s="13"/>
      <c r="E987" s="13"/>
      <c r="F987" s="13"/>
      <c r="G987" s="14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4"/>
      <c r="D988" s="13"/>
      <c r="E988" s="13"/>
      <c r="F988" s="13"/>
      <c r="G988" s="14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4"/>
      <c r="D989" s="13"/>
      <c r="E989" s="13"/>
      <c r="F989" s="13"/>
      <c r="G989" s="14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4"/>
      <c r="D990" s="13"/>
      <c r="E990" s="13"/>
      <c r="F990" s="13"/>
      <c r="G990" s="14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4"/>
      <c r="D991" s="13"/>
      <c r="E991" s="13"/>
      <c r="F991" s="13"/>
      <c r="G991" s="14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4"/>
      <c r="D992" s="13"/>
      <c r="E992" s="13"/>
      <c r="F992" s="13"/>
      <c r="G992" s="14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4"/>
      <c r="D993" s="13"/>
      <c r="E993" s="13"/>
      <c r="F993" s="13"/>
      <c r="G993" s="14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4"/>
      <c r="D994" s="13"/>
      <c r="E994" s="13"/>
      <c r="F994" s="13"/>
      <c r="G994" s="14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4"/>
      <c r="D995" s="13"/>
      <c r="E995" s="13"/>
      <c r="F995" s="13"/>
      <c r="G995" s="14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4"/>
      <c r="D996" s="13"/>
      <c r="E996" s="13"/>
      <c r="F996" s="13"/>
      <c r="G996" s="14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4"/>
      <c r="D997" s="13"/>
      <c r="E997" s="13"/>
      <c r="F997" s="13"/>
      <c r="G997" s="14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4"/>
      <c r="D998" s="13"/>
      <c r="E998" s="13"/>
      <c r="F998" s="13"/>
      <c r="G998" s="14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4"/>
      <c r="D999" s="13"/>
      <c r="E999" s="13"/>
      <c r="F999" s="13"/>
      <c r="G999" s="14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4"/>
      <c r="D1000" s="13"/>
      <c r="E1000" s="13"/>
      <c r="F1000" s="13"/>
      <c r="G1000" s="14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conditionalFormatting sqref="G1:G1000">
    <cfRule type="cellIs" dxfId="0" priority="1" operator="lessThan">
      <formula>0</formula>
    </cfRule>
  </conditionalFormatting>
  <conditionalFormatting sqref="G1:G1000">
    <cfRule type="cellIs" dxfId="1" priority="2" operator="greaterThan">
      <formula>0</formula>
    </cfRule>
  </conditionalFormatting>
  <conditionalFormatting sqref="G1:G1000">
    <cfRule type="cellIs" dxfId="2" priority="3" operator="equal">
      <formula>0</formula>
    </cfRule>
  </conditionalFormatting>
  <dataValidations>
    <dataValidation type="list" allowBlank="1" showErrorMessage="1" sqref="B2:B121">
      <formula1>"Acessórios,Armazenamento,Componentes,Hardware,Imagem e Som,Periféricos,Redes"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</sheetData>
  <drawing r:id="rId2"/>
</worksheet>
</file>